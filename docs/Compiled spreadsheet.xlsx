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allagh\University of Michigan Dropbox\MED-Kaczorowski-LAB-Dropbox\Kacz_Projects-ongoing\Patch-Seq and patch-proteomics\Data_By_Project\Young B6 CA1 CFM\Ephys\"/>
    </mc:Choice>
  </mc:AlternateContent>
  <xr:revisionPtr revIDLastSave="1431" documentId="13_ncr:1_{0E48C91B-1B9F-4256-B2E0-2177C56B8094}" xr6:coauthVersionLast="47" xr6:coauthVersionMax="47" xr10:uidLastSave="{30B106B4-91B7-412F-8F9A-63A406EC02BB}"/>
  <bookViews>
    <workbookView xWindow="-120" yWindow="-120" windowWidth="29040" windowHeight="15720" tabRatio="846" firstSheet="6" activeTab="11" xr2:uid="{00000000-000D-0000-FFFF-FFFF00000000}"/>
  </bookViews>
  <sheets>
    <sheet name="Fully Compiled" sheetId="1" r:id="rId1"/>
    <sheet name="RMP" sheetId="2" r:id="rId2"/>
    <sheet name="Rheobase" sheetId="3" r:id="rId3"/>
    <sheet name="Sag" sheetId="4" r:id="rId4"/>
    <sheet name="Rin" sheetId="5" r:id="rId5"/>
    <sheet name="Current Threshold" sheetId="6" r:id="rId6"/>
    <sheet name="5 AHP" sheetId="7" r:id="rId7"/>
    <sheet name="25 AHP" sheetId="8" r:id="rId8"/>
    <sheet name="50 AHP" sheetId="18" r:id="rId9"/>
    <sheet name="1s Firing" sheetId="9" r:id="rId10"/>
    <sheet name="Bridge Balance" sheetId="10" r:id="rId11"/>
    <sheet name="Holding Current" sheetId="11" r:id="rId12"/>
    <sheet name="Compiled AP Properties" sheetId="16" r:id="rId13"/>
    <sheet name="Vthresh_RMP_Exclusion" sheetId="19" r:id="rId14"/>
    <sheet name="Trimming analysis" sheetId="20" r:id="rId15"/>
    <sheet name="(obsolete)Vthresh_RMP_Exclusion" sheetId="17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0" l="1"/>
  <c r="M2" i="11"/>
  <c r="BG29" i="1"/>
  <c r="BG33" i="1"/>
  <c r="BG27" i="1"/>
  <c r="BG25" i="1"/>
  <c r="BG23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L170" i="16"/>
  <c r="K170" i="16"/>
  <c r="N148" i="6"/>
  <c r="N149" i="6"/>
  <c r="N150" i="6"/>
  <c r="N151" i="6"/>
  <c r="N152" i="6"/>
  <c r="N153" i="6"/>
  <c r="N154" i="6"/>
  <c r="N155" i="6"/>
  <c r="N156" i="6"/>
  <c r="N147" i="6"/>
  <c r="N140" i="6"/>
  <c r="N141" i="6"/>
  <c r="N142" i="6"/>
  <c r="N143" i="6"/>
  <c r="N144" i="6"/>
  <c r="N145" i="6"/>
  <c r="N14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59" i="6"/>
  <c r="M147" i="10"/>
  <c r="M148" i="10"/>
  <c r="M149" i="10"/>
  <c r="M150" i="10"/>
  <c r="M151" i="10"/>
  <c r="M152" i="10"/>
  <c r="M153" i="10"/>
  <c r="M154" i="10"/>
  <c r="M155" i="10"/>
  <c r="M156" i="10"/>
  <c r="V21" i="20"/>
  <c r="X20" i="20"/>
  <c r="X19" i="20"/>
  <c r="X18" i="20"/>
  <c r="X17" i="20"/>
  <c r="X16" i="20"/>
  <c r="X15" i="20"/>
  <c r="W19" i="20"/>
  <c r="W15" i="20"/>
  <c r="W20" i="20"/>
  <c r="W16" i="20"/>
  <c r="W18" i="20"/>
  <c r="W17" i="20"/>
  <c r="W13" i="20"/>
  <c r="X14" i="20"/>
  <c r="W14" i="20"/>
  <c r="X13" i="20"/>
  <c r="X21" i="20" s="1"/>
  <c r="AB9" i="20"/>
  <c r="AA9" i="20"/>
  <c r="Y9" i="20"/>
  <c r="X9" i="20"/>
  <c r="V9" i="20"/>
  <c r="U9" i="20"/>
  <c r="AB4" i="20"/>
  <c r="AA4" i="20"/>
  <c r="Y4" i="20"/>
  <c r="X4" i="20"/>
  <c r="V4" i="20"/>
  <c r="U4" i="20"/>
  <c r="R1" i="19"/>
  <c r="S1" i="19"/>
  <c r="M117" i="10"/>
  <c r="M118" i="10"/>
  <c r="M119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59" i="10"/>
  <c r="M60" i="10"/>
  <c r="M61" i="10"/>
  <c r="M62" i="10"/>
  <c r="M63" i="10"/>
  <c r="M64" i="10"/>
  <c r="M66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90" i="10"/>
  <c r="M92" i="10"/>
  <c r="M93" i="10"/>
  <c r="M95" i="10"/>
  <c r="M97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AY58" i="1"/>
  <c r="AY57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4" i="1"/>
  <c r="AY33" i="1"/>
  <c r="AY32" i="1"/>
  <c r="AY31" i="1"/>
  <c r="AY30" i="1"/>
  <c r="AY29" i="1"/>
  <c r="AY28" i="1"/>
  <c r="AY26" i="1"/>
  <c r="AY25" i="1"/>
  <c r="AY24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8" i="1"/>
  <c r="AY7" i="1"/>
  <c r="AY6" i="1"/>
  <c r="AY4" i="1"/>
  <c r="AY3" i="1"/>
  <c r="AY2" i="1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V34" i="19"/>
  <c r="V33" i="19"/>
  <c r="V32" i="19"/>
  <c r="V31" i="19"/>
  <c r="V30" i="19"/>
  <c r="V29" i="19"/>
  <c r="V28" i="19"/>
  <c r="V27" i="19"/>
  <c r="V26" i="19"/>
  <c r="V25" i="19"/>
  <c r="V24" i="19"/>
  <c r="V22" i="19"/>
  <c r="V21" i="19"/>
  <c r="V20" i="19"/>
  <c r="V19" i="19"/>
  <c r="V18" i="19"/>
  <c r="V17" i="19"/>
  <c r="V16" i="19"/>
  <c r="V15" i="19"/>
  <c r="V13" i="19"/>
  <c r="W21" i="20" l="1"/>
  <c r="S1" i="17"/>
  <c r="R1" i="17"/>
  <c r="M1" i="17"/>
  <c r="L1" i="17"/>
  <c r="M3" i="10"/>
  <c r="M4" i="10"/>
  <c r="M6" i="10"/>
  <c r="M7" i="10"/>
  <c r="M8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4" i="10"/>
  <c r="M25" i="10"/>
  <c r="M26" i="10"/>
  <c r="M28" i="10"/>
  <c r="M29" i="10"/>
  <c r="M30" i="10"/>
  <c r="M31" i="10"/>
  <c r="M32" i="10"/>
  <c r="M33" i="10"/>
  <c r="M34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7" i="10"/>
  <c r="M58" i="10"/>
  <c r="M2" i="10"/>
  <c r="V34" i="17"/>
  <c r="V33" i="17"/>
  <c r="V32" i="17"/>
  <c r="V31" i="17"/>
  <c r="V30" i="17"/>
  <c r="V29" i="17"/>
  <c r="V28" i="17"/>
  <c r="V27" i="17"/>
  <c r="V26" i="17"/>
  <c r="V25" i="17"/>
  <c r="V24" i="17"/>
  <c r="V23" i="17"/>
  <c r="V22" i="17"/>
  <c r="V21" i="17"/>
  <c r="V20" i="17"/>
  <c r="V19" i="17"/>
  <c r="V18" i="17"/>
  <c r="V17" i="17"/>
  <c r="V16" i="17"/>
  <c r="V15" i="17"/>
  <c r="V14" i="17"/>
  <c r="V13" i="17"/>
  <c r="L44" i="16" l="1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J170" i="16"/>
  <c r="I170" i="16"/>
  <c r="G170" i="16"/>
  <c r="L22" i="16"/>
  <c r="L21" i="16"/>
  <c r="L20" i="16"/>
  <c r="L19" i="16"/>
  <c r="L18" i="16"/>
  <c r="L17" i="16"/>
  <c r="L16" i="16"/>
  <c r="L15" i="16"/>
  <c r="L14" i="16"/>
  <c r="L13" i="16"/>
</calcChain>
</file>

<file path=xl/sharedStrings.xml><?xml version="1.0" encoding="utf-8"?>
<sst xmlns="http://schemas.openxmlformats.org/spreadsheetml/2006/main" count="11275" uniqueCount="480">
  <si>
    <t>Date</t>
  </si>
  <si>
    <t>Experimenter</t>
  </si>
  <si>
    <t>Mouse</t>
  </si>
  <si>
    <t>Sample</t>
  </si>
  <si>
    <t>ABF</t>
  </si>
  <si>
    <t>Sex</t>
  </si>
  <si>
    <t>Behavior</t>
  </si>
  <si>
    <t>Internal</t>
  </si>
  <si>
    <t>Nucleus?</t>
  </si>
  <si>
    <t>Firing</t>
  </si>
  <si>
    <t>Starting RMP (mV)</t>
  </si>
  <si>
    <t>Ending RMP (mV)</t>
  </si>
  <si>
    <t>Rheobase mV</t>
  </si>
  <si>
    <t>Rheobase pA</t>
  </si>
  <si>
    <t>Rheobase SU FF</t>
  </si>
  <si>
    <t>200 pA Avg</t>
  </si>
  <si>
    <t>100 pA Avg</t>
  </si>
  <si>
    <t>Ri Slope</t>
  </si>
  <si>
    <t>Ri</t>
  </si>
  <si>
    <t>Sweep</t>
  </si>
  <si>
    <t>R1S1 Mean</t>
  </si>
  <si>
    <t>R2S1 Mean</t>
  </si>
  <si>
    <t>Ithresh</t>
  </si>
  <si>
    <t>Spike #</t>
  </si>
  <si>
    <t>5 spike peakAHP</t>
  </si>
  <si>
    <t>5 spike 200ms AHP</t>
  </si>
  <si>
    <t>5 spike sAHP</t>
  </si>
  <si>
    <t>25 spike peakAHP</t>
  </si>
  <si>
    <t>25 spike 200ms AHP</t>
  </si>
  <si>
    <t>25 spike sAHP</t>
  </si>
  <si>
    <t>First FF</t>
  </si>
  <si>
    <t>Max FF</t>
  </si>
  <si>
    <t>Starting Bridge Balence</t>
  </si>
  <si>
    <t>Ending Bridge Balence</t>
  </si>
  <si>
    <t>% Change</t>
  </si>
  <si>
    <t>Start Hold (pA)</t>
  </si>
  <si>
    <t>End Hold (pA)</t>
  </si>
  <si>
    <t>Half-Width</t>
  </si>
  <si>
    <t>Max Rise</t>
  </si>
  <si>
    <t>Max Decay</t>
  </si>
  <si>
    <t>Peak Amplitude (mV)</t>
  </si>
  <si>
    <t>Threshold (mV)</t>
  </si>
  <si>
    <t>Excluded?</t>
  </si>
  <si>
    <t>Reason</t>
  </si>
  <si>
    <t>Christian Althaus</t>
  </si>
  <si>
    <t>004-0013</t>
  </si>
  <si>
    <t>Male</t>
  </si>
  <si>
    <t>Naïve</t>
  </si>
  <si>
    <t>Biocytin+</t>
  </si>
  <si>
    <t>PL8-A1</t>
  </si>
  <si>
    <t>Normal</t>
  </si>
  <si>
    <t>15-24</t>
  </si>
  <si>
    <t>PL8-B1</t>
  </si>
  <si>
    <t>25-34</t>
  </si>
  <si>
    <t>Biocytin-</t>
  </si>
  <si>
    <t>PL8-C1</t>
  </si>
  <si>
    <t>00-006</t>
  </si>
  <si>
    <t>CFM</t>
  </si>
  <si>
    <t>PL6-D1</t>
  </si>
  <si>
    <t>no abf</t>
  </si>
  <si>
    <t>007-0016</t>
  </si>
  <si>
    <t>PL8-E1</t>
  </si>
  <si>
    <t>17-26</t>
  </si>
  <si>
    <t>31-41x39</t>
  </si>
  <si>
    <t>005-0014</t>
  </si>
  <si>
    <t>Female</t>
  </si>
  <si>
    <t>PL8-F1</t>
  </si>
  <si>
    <t>PL8-G1</t>
  </si>
  <si>
    <t>00-009</t>
  </si>
  <si>
    <t>Rachel Callaghan</t>
  </si>
  <si>
    <t>Yes</t>
  </si>
  <si>
    <t>Cortical Cell</t>
  </si>
  <si>
    <t>0010-0020 x11</t>
  </si>
  <si>
    <t>PL8-H1</t>
  </si>
  <si>
    <t>0010-0019</t>
  </si>
  <si>
    <t>Vthresh&lt;RMP</t>
  </si>
  <si>
    <t>21-30</t>
  </si>
  <si>
    <t>PL8-I1</t>
  </si>
  <si>
    <t>00-010</t>
  </si>
  <si>
    <t>PL8-J1</t>
  </si>
  <si>
    <t>Burst</t>
  </si>
  <si>
    <t>PL8-K1</t>
  </si>
  <si>
    <t>011-021</t>
  </si>
  <si>
    <t>PL8-L1</t>
  </si>
  <si>
    <t>010-020</t>
  </si>
  <si>
    <t>PL8-M1</t>
  </si>
  <si>
    <t>003-0016</t>
  </si>
  <si>
    <t>0-13</t>
  </si>
  <si>
    <t>PL8-N1</t>
  </si>
  <si>
    <t>User</t>
  </si>
  <si>
    <t>Devan Gomez</t>
  </si>
  <si>
    <t>0-12</t>
  </si>
  <si>
    <t>no firing</t>
  </si>
  <si>
    <t>0-11</t>
  </si>
  <si>
    <t>PL8-O1</t>
  </si>
  <si>
    <t>15-25</t>
  </si>
  <si>
    <t>PL8-P1</t>
  </si>
  <si>
    <t>004-14</t>
  </si>
  <si>
    <t>none</t>
  </si>
  <si>
    <t>00-0010</t>
  </si>
  <si>
    <t>PL8-A2</t>
  </si>
  <si>
    <t>Kennedy Kuchinski</t>
  </si>
  <si>
    <t>00-0011</t>
  </si>
  <si>
    <t>PL8-B2</t>
  </si>
  <si>
    <t>003-13</t>
  </si>
  <si>
    <t>008-0018</t>
  </si>
  <si>
    <t>PL8-C2</t>
  </si>
  <si>
    <t>13-23</t>
  </si>
  <si>
    <t>Bioctytin+</t>
  </si>
  <si>
    <t>PL8-D2</t>
  </si>
  <si>
    <t>14-24</t>
  </si>
  <si>
    <t>011-20</t>
  </si>
  <si>
    <t>PL8-E2</t>
  </si>
  <si>
    <t>012-23</t>
  </si>
  <si>
    <t>0-010</t>
  </si>
  <si>
    <t>PL8-F2</t>
  </si>
  <si>
    <t>24-34</t>
  </si>
  <si>
    <t>35-46</t>
  </si>
  <si>
    <t>21-31</t>
  </si>
  <si>
    <t>PL8-G2</t>
  </si>
  <si>
    <t>011-21</t>
  </si>
  <si>
    <t>PL8-H2</t>
  </si>
  <si>
    <t>007-17</t>
  </si>
  <si>
    <t>PL8-I2</t>
  </si>
  <si>
    <t>18-28</t>
  </si>
  <si>
    <t>PL8-J2</t>
  </si>
  <si>
    <t>29-39</t>
  </si>
  <si>
    <t>PL8-K2</t>
  </si>
  <si>
    <t>Interneuron</t>
  </si>
  <si>
    <t>16-27</t>
  </si>
  <si>
    <t>PL8-L2</t>
  </si>
  <si>
    <t>27-37</t>
  </si>
  <si>
    <t>PL8-M2</t>
  </si>
  <si>
    <t>005-15</t>
  </si>
  <si>
    <t>PL8-N2</t>
  </si>
  <si>
    <t>PL8-P2</t>
  </si>
  <si>
    <t>PL8-O2</t>
  </si>
  <si>
    <t>18-&gt;26</t>
  </si>
  <si>
    <t>PL8-A3</t>
  </si>
  <si>
    <t>PL8-B3</t>
  </si>
  <si>
    <t>0-10</t>
  </si>
  <si>
    <t>PL10-A1</t>
  </si>
  <si>
    <t>0011-0021</t>
  </si>
  <si>
    <t>PL10-B1</t>
  </si>
  <si>
    <t>26-36</t>
  </si>
  <si>
    <t>40-50</t>
  </si>
  <si>
    <t>user, poor comp</t>
  </si>
  <si>
    <t>PL10-C1</t>
  </si>
  <si>
    <t>0011-0019</t>
  </si>
  <si>
    <t>0-0011</t>
  </si>
  <si>
    <t>0012-0021</t>
  </si>
  <si>
    <t>PL10-D1</t>
  </si>
  <si>
    <t>no spike</t>
  </si>
  <si>
    <t>PL10-E1</t>
  </si>
  <si>
    <t>user</t>
  </si>
  <si>
    <t>PL10-F1</t>
  </si>
  <si>
    <t>PL10-H1</t>
  </si>
  <si>
    <t>PL10-I1</t>
  </si>
  <si>
    <t>Carlos Quintero</t>
  </si>
  <si>
    <t>29-31</t>
  </si>
  <si>
    <t>PL10-J1</t>
  </si>
  <si>
    <t>PL10-K1</t>
  </si>
  <si>
    <t>PL10-L1</t>
  </si>
  <si>
    <t>35-45</t>
  </si>
  <si>
    <t>PL10-M1</t>
  </si>
  <si>
    <t>46-57x53</t>
  </si>
  <si>
    <t>PL10-N1</t>
  </si>
  <si>
    <t>58-68</t>
  </si>
  <si>
    <t>PL10-O1</t>
  </si>
  <si>
    <t>PL10-P1</t>
  </si>
  <si>
    <t>012-22</t>
  </si>
  <si>
    <t>PL10-A2</t>
  </si>
  <si>
    <t>23-33</t>
  </si>
  <si>
    <t>PL10-B2</t>
  </si>
  <si>
    <t>0-009</t>
  </si>
  <si>
    <t>PL10-C2</t>
  </si>
  <si>
    <t>00-10</t>
  </si>
  <si>
    <t>0010-0022</t>
  </si>
  <si>
    <t>23-31</t>
  </si>
  <si>
    <t>32-40</t>
  </si>
  <si>
    <t>interneuron?</t>
  </si>
  <si>
    <t>41-51</t>
  </si>
  <si>
    <t>PL10-E2</t>
  </si>
  <si>
    <t>PL10-F2</t>
  </si>
  <si>
    <t>22-32</t>
  </si>
  <si>
    <t>PL10-G2</t>
  </si>
  <si>
    <t>33-45</t>
  </si>
  <si>
    <t>PL10-H2</t>
  </si>
  <si>
    <t>0-0010</t>
  </si>
  <si>
    <t>002-0012</t>
  </si>
  <si>
    <t>PL10-I2</t>
  </si>
  <si>
    <t>0011-0024</t>
  </si>
  <si>
    <t>PL10-J2</t>
  </si>
  <si>
    <t>PL10-K2</t>
  </si>
  <si>
    <t>22-33</t>
  </si>
  <si>
    <t>PL10-L2</t>
  </si>
  <si>
    <t>34-45</t>
  </si>
  <si>
    <t>0005-0015</t>
  </si>
  <si>
    <t>PL10-M2</t>
  </si>
  <si>
    <t>004-019</t>
  </si>
  <si>
    <t>interneuron</t>
  </si>
  <si>
    <t>20-30</t>
  </si>
  <si>
    <t>PL10-N2</t>
  </si>
  <si>
    <t>0011-0022</t>
  </si>
  <si>
    <t>PL10-O2</t>
  </si>
  <si>
    <t>31-41</t>
  </si>
  <si>
    <t>PL10-P2</t>
  </si>
  <si>
    <t>0-25</t>
  </si>
  <si>
    <t>PL10-A3</t>
  </si>
  <si>
    <t>noise,user</t>
  </si>
  <si>
    <t>19-29</t>
  </si>
  <si>
    <t>42-52</t>
  </si>
  <si>
    <t>PL10-B3</t>
  </si>
  <si>
    <t>PL10-C3</t>
  </si>
  <si>
    <t>27-36</t>
  </si>
  <si>
    <t>PL11-A1</t>
  </si>
  <si>
    <t>004-014</t>
  </si>
  <si>
    <t>PL11-B1</t>
  </si>
  <si>
    <t>37-48</t>
  </si>
  <si>
    <t>PL11-C1</t>
  </si>
  <si>
    <t>49-61</t>
  </si>
  <si>
    <t>37-47</t>
  </si>
  <si>
    <t>PL11-D1</t>
  </si>
  <si>
    <t>002-012</t>
  </si>
  <si>
    <t>PL11-E1</t>
  </si>
  <si>
    <t>PL11-F1</t>
  </si>
  <si>
    <t>PL11-G1</t>
  </si>
  <si>
    <t>PL11-H1</t>
  </si>
  <si>
    <t>PL11-I1</t>
  </si>
  <si>
    <t>PL11-J1</t>
  </si>
  <si>
    <t>25-35</t>
  </si>
  <si>
    <t>33-47</t>
  </si>
  <si>
    <t>PL11-K1</t>
  </si>
  <si>
    <t>48-58</t>
  </si>
  <si>
    <t>PL11-L1</t>
  </si>
  <si>
    <t>PL11-M1</t>
  </si>
  <si>
    <t>59-69</t>
  </si>
  <si>
    <t>13-24</t>
  </si>
  <si>
    <t>34-46</t>
  </si>
  <si>
    <t>PL11-N1</t>
  </si>
  <si>
    <t>47-57</t>
  </si>
  <si>
    <t>PL11-O1</t>
  </si>
  <si>
    <t>user, unhealthy, poor comp</t>
  </si>
  <si>
    <t>PL11-P1</t>
  </si>
  <si>
    <t>69-84</t>
  </si>
  <si>
    <t>PL11-A2</t>
  </si>
  <si>
    <t>PL11-B2</t>
  </si>
  <si>
    <t>PL11-C2</t>
  </si>
  <si>
    <t>PL1-D2</t>
  </si>
  <si>
    <t>PL11-E2</t>
  </si>
  <si>
    <t>33-43</t>
  </si>
  <si>
    <t>34-44</t>
  </si>
  <si>
    <t>PL11-F2</t>
  </si>
  <si>
    <t>44-54</t>
  </si>
  <si>
    <t>PL11-G2</t>
  </si>
  <si>
    <t>45-55</t>
  </si>
  <si>
    <t>PL11-H2</t>
  </si>
  <si>
    <t>Naive</t>
  </si>
  <si>
    <t>2025_11_11 Biocytin Proteomics</t>
  </si>
  <si>
    <t>2025_11_11 NO Biocytin Proteomics</t>
  </si>
  <si>
    <t>mV</t>
  </si>
  <si>
    <t>pA</t>
  </si>
  <si>
    <t>RheoSU Sweep</t>
  </si>
  <si>
    <t>*these are the weird ones where the traces for mV and pA were the same (issues with "crosstalk" in softwares)</t>
  </si>
  <si>
    <t>*</t>
  </si>
  <si>
    <t>Slope</t>
  </si>
  <si>
    <t>revisit, use current written down?</t>
  </si>
  <si>
    <t>pA improperly reported</t>
  </si>
  <si>
    <t>peakAHP</t>
  </si>
  <si>
    <t>200ms AHP</t>
  </si>
  <si>
    <t>sAHP</t>
  </si>
  <si>
    <t>Weird</t>
  </si>
  <si>
    <t xml:space="preserve">     no data for first 2 weeks</t>
  </si>
  <si>
    <t>First Sweep</t>
  </si>
  <si>
    <t>Ithresh FF</t>
  </si>
  <si>
    <t>Rheobase (pA)</t>
  </si>
  <si>
    <t>Sweep (pA)</t>
  </si>
  <si>
    <t>max</t>
  </si>
  <si>
    <t>+35, -400</t>
  </si>
  <si>
    <t>Young B6 CA1 Experiment</t>
  </si>
  <si>
    <t>AP parameters</t>
  </si>
  <si>
    <t>Week 1 11/18 - 11/20</t>
  </si>
  <si>
    <t>Cursor 1</t>
  </si>
  <si>
    <t>Cursor 2</t>
  </si>
  <si>
    <t>Cursor 3</t>
  </si>
  <si>
    <t>Cursor 4</t>
  </si>
  <si>
    <t>Potential User Exclusion</t>
  </si>
  <si>
    <t>(see Vthresh_RMP Tab for exclusions</t>
  </si>
  <si>
    <t xml:space="preserve">Animal ID </t>
  </si>
  <si>
    <t xml:space="preserve">Sample </t>
  </si>
  <si>
    <t>File</t>
  </si>
  <si>
    <r>
      <rPr>
        <b/>
        <sz val="11"/>
        <color theme="1"/>
        <rFont val="Calibri"/>
        <family val="2"/>
        <scheme val="minor"/>
      </rPr>
      <t>Trace</t>
    </r>
    <r>
      <rPr>
        <sz val="11"/>
        <color theme="1"/>
        <rFont val="Calibri"/>
        <family val="2"/>
        <scheme val="minor"/>
      </rPr>
      <t xml:space="preserve"> </t>
    </r>
  </si>
  <si>
    <t>Trace Start</t>
  </si>
  <si>
    <t>Raw Amplitude</t>
  </si>
  <si>
    <t xml:space="preserve">BaselineMean </t>
  </si>
  <si>
    <t>Voltage Threshold(mV)- Manual</t>
  </si>
  <si>
    <t>ms</t>
  </si>
  <si>
    <t>RMP</t>
  </si>
  <si>
    <t>2025_11_18_0009.abf</t>
  </si>
  <si>
    <t>2025_11_18_0020.abf</t>
  </si>
  <si>
    <t>2025_11_18_0030.abf</t>
  </si>
  <si>
    <t>2025_11_19_0005.abf</t>
  </si>
  <si>
    <t>2025_11_19_0012.abf</t>
  </si>
  <si>
    <t>2025_11_19_0022.abf</t>
  </si>
  <si>
    <t>2025_11_19_0036.abf</t>
  </si>
  <si>
    <t>2025_11_20_0010.abf</t>
  </si>
  <si>
    <t>2025_11_20_0020.abf</t>
  </si>
  <si>
    <t>2025_11_20_0030.abf</t>
  </si>
  <si>
    <t>2025_11_24_0005.abf</t>
  </si>
  <si>
    <t>63550_0005.abf</t>
  </si>
  <si>
    <t>Unhealthy</t>
  </si>
  <si>
    <t>2025_11_24_0016.abf</t>
  </si>
  <si>
    <t>63550_0015.abf</t>
  </si>
  <si>
    <t>2025_11_24_0026.abf</t>
  </si>
  <si>
    <t>63542_0005.abf</t>
  </si>
  <si>
    <t>Subicular cell - burst</t>
  </si>
  <si>
    <t>2025_12_09_0005.abf</t>
  </si>
  <si>
    <t>63543_0016.abf</t>
  </si>
  <si>
    <t>2025_12_09_0015.abf</t>
  </si>
  <si>
    <t>63558_0011.abf</t>
  </si>
  <si>
    <t>63559_0008.abf</t>
  </si>
  <si>
    <t>2025_12_10_0007.abf</t>
  </si>
  <si>
    <t>Unhealthy, poor hold</t>
  </si>
  <si>
    <t>63560_0006.abf</t>
  </si>
  <si>
    <t>63560_0020.abf</t>
  </si>
  <si>
    <t>2025_12_11_0009.abf</t>
  </si>
  <si>
    <t>2025_12_11_0004.abf</t>
  </si>
  <si>
    <t>Closed seal, unhealthy, incomplete recording set</t>
  </si>
  <si>
    <t>2025_12_12_0005.abf</t>
  </si>
  <si>
    <t>2025_12_12_0006.abf</t>
  </si>
  <si>
    <t>2025_12_12_0008.abf</t>
  </si>
  <si>
    <t>63545_0013.abf</t>
  </si>
  <si>
    <t>2025_12_12_0018.abf</t>
  </si>
  <si>
    <t>2025_12_12_0019.abf</t>
  </si>
  <si>
    <t>2025_12_16_0005.abf</t>
  </si>
  <si>
    <t>63549_0006.abf</t>
  </si>
  <si>
    <t>2025_12_16_0016.abf</t>
  </si>
  <si>
    <t>63549_0017.abf</t>
  </si>
  <si>
    <t>63549_0029.abf</t>
  </si>
  <si>
    <t>63549_0040.abf</t>
  </si>
  <si>
    <t>2025_12_16_0026.abf</t>
  </si>
  <si>
    <t>2025_12_17_0007.abf</t>
  </si>
  <si>
    <t>2025_12_17_0012.abf</t>
  </si>
  <si>
    <t>2025_12_17_0023.abf</t>
  </si>
  <si>
    <t>2025_12_17_0034.abf</t>
  </si>
  <si>
    <t>2025_12_17_0008.abf</t>
  </si>
  <si>
    <t>2025_12_17_0019.abf</t>
  </si>
  <si>
    <t>63556_0005.abf</t>
  </si>
  <si>
    <t>63556_0022.abf</t>
  </si>
  <si>
    <t>2025_12_18_0005.abf</t>
  </si>
  <si>
    <t>2025_12_18_0016.abf</t>
  </si>
  <si>
    <t>2025_12_18_0032.abf</t>
  </si>
  <si>
    <t>63547_0010.abf</t>
  </si>
  <si>
    <t>63548_0005.abf</t>
  </si>
  <si>
    <t>2025_12_19_0006.abf</t>
  </si>
  <si>
    <t>63548_0016.abf</t>
  </si>
  <si>
    <t>2025_12_19_0019.abf</t>
  </si>
  <si>
    <t>2026_01_06_JCA_0005.abf</t>
  </si>
  <si>
    <t>2026_01_06_JCA_0016.abf</t>
  </si>
  <si>
    <t>2026_01_06_JCA_0031.abf</t>
  </si>
  <si>
    <t>2026_01_06_JCA_0045.abf</t>
  </si>
  <si>
    <t>2026_01_06_DMG_0007.abf</t>
  </si>
  <si>
    <t>2026_01_08_JCA_0005.abf</t>
  </si>
  <si>
    <t>2026_01_08_JCA_0016.abf</t>
  </si>
  <si>
    <t>2026_01_09_RC_0005.abf</t>
  </si>
  <si>
    <t>2026_01_08_DMG_0005.abf</t>
  </si>
  <si>
    <t>2026_01_08_DMG_0017.abf</t>
  </si>
  <si>
    <t>2026_01_09_DMG_0004.abf</t>
  </si>
  <si>
    <t>2026_01_09_JCA_0005.abf</t>
  </si>
  <si>
    <t>2026_01_09_JCA_0016.abf</t>
  </si>
  <si>
    <t>2026_01_13_JCA_0005.abf</t>
  </si>
  <si>
    <t>2026_01_13_JCA_0016.abf</t>
  </si>
  <si>
    <t>2026_01_08_RC_0017.abf</t>
  </si>
  <si>
    <t>2026_01_13_JCA_0034.abf</t>
  </si>
  <si>
    <t>2026_01_14_JCA_0018.abf</t>
  </si>
  <si>
    <t>2026_01_14_JCA_0029.abf</t>
  </si>
  <si>
    <t>2026_01_14_JCA_0040.abf</t>
  </si>
  <si>
    <t>2026_01_14_JCA_0051.abf</t>
  </si>
  <si>
    <t>2026_01_14_JCA_0063.abf</t>
  </si>
  <si>
    <t>2026_01_15_0005.abf</t>
  </si>
  <si>
    <t>2026_01_15_RC_0005.abf</t>
  </si>
  <si>
    <t>2026_01_15_RC_0017.abf</t>
  </si>
  <si>
    <t>2026_01_15_RC_0028.abf</t>
  </si>
  <si>
    <t>2026_01_16_DMG_0005.abf</t>
  </si>
  <si>
    <t>2026_01_16_JCA_0005.abf</t>
  </si>
  <si>
    <t>2026_01_16_DMG_0017.abf</t>
  </si>
  <si>
    <t>2026_01_16_DMG_0028.abf</t>
  </si>
  <si>
    <t>2026_01_16_JCA_0016.abf</t>
  </si>
  <si>
    <t>2026_01_16_DMG_0037.abf</t>
  </si>
  <si>
    <t>2026_01_16_CQ_0005.abf</t>
  </si>
  <si>
    <t>2026_01_16_DMG_0046.abf</t>
  </si>
  <si>
    <t>2026_01_16_JCA_0027.abf</t>
  </si>
  <si>
    <t>2026_01_20_RC_0005.abf</t>
  </si>
  <si>
    <t>2026_01_20_DMG_0005.abf</t>
  </si>
  <si>
    <t>2026_01_20_DMG_0016.abf</t>
  </si>
  <si>
    <t>2026_01_20_RC_0016.abf</t>
  </si>
  <si>
    <t>2026_01_20_DMG_0027.abf</t>
  </si>
  <si>
    <t>2026_01_20_DMG_0038.abf</t>
  </si>
  <si>
    <t>2026_01_21_DMG_0005.abf</t>
  </si>
  <si>
    <t>2026_01_21_JCA_0007.abf</t>
  </si>
  <si>
    <t>2026_01_21_DMG_0016.abf</t>
  </si>
  <si>
    <t>2026_01_21_JCA_0018.abf</t>
  </si>
  <si>
    <t>2026_01_21_JCA_0029.abf</t>
  </si>
  <si>
    <t>2026_01_21_JCA_0041.abf</t>
  </si>
  <si>
    <t>2026_01_21_DMG_0040.abf</t>
  </si>
  <si>
    <t>2026_01_22_JCA_0010.abf</t>
  </si>
  <si>
    <t>2026_01_22_DMG_0009.abf</t>
  </si>
  <si>
    <t>2026_01_22_DMG_0025.abf</t>
  </si>
  <si>
    <t>2026_01_16_CQ_0016.abf</t>
  </si>
  <si>
    <t>2026_01_22_DMG_0036.abf</t>
  </si>
  <si>
    <t>2026_01_23_RC_0010.abf</t>
  </si>
  <si>
    <t>2026_01_23_DMG_0024.abf</t>
  </si>
  <si>
    <t>2026_01_22_DMG_0047.abf</t>
  </si>
  <si>
    <t>2026_01_27_DMG_0005.abf</t>
  </si>
  <si>
    <t>2026_01_27_DMG_0016.abf</t>
  </si>
  <si>
    <t>2026_01_27_DMG_0031.abf</t>
  </si>
  <si>
    <t>2026_01_27_JCA_0009.abf</t>
  </si>
  <si>
    <t>2026_01_27_DMG_0043.abf</t>
  </si>
  <si>
    <t>2026_01_27_JCA_0020.abf</t>
  </si>
  <si>
    <t>2026_01_27_DMG_0054.abf</t>
  </si>
  <si>
    <t>2026_01_27_JCA_0031.abf</t>
  </si>
  <si>
    <t>2026_01_27_JCA_0042.abf</t>
  </si>
  <si>
    <t>2026_01_28_JCA_0007.abf</t>
  </si>
  <si>
    <t>2026_01_28_DMG_0005.abf</t>
  </si>
  <si>
    <t>2026_01_28_JCA_0018.abf</t>
  </si>
  <si>
    <t>2026_01_28_JCA_0029.abf</t>
  </si>
  <si>
    <t>2026_01_28_DMG_0023.abf</t>
  </si>
  <si>
    <t>2026_01_28_DMG_0034.abf</t>
  </si>
  <si>
    <t>2026_01_28_DMG_0045.abf</t>
  </si>
  <si>
    <t>2026_01_29_DMG_0005.abf</t>
  </si>
  <si>
    <t>2026_01_29_DMG_0016.abf</t>
  </si>
  <si>
    <t>2026_01_29_DMG_0027.abf</t>
  </si>
  <si>
    <t>2026_01_16_CQ_0030.abf</t>
  </si>
  <si>
    <t>2026_01_29_DMG_0039.abf</t>
  </si>
  <si>
    <t>2026_01_29_DMG_0053.abf</t>
  </si>
  <si>
    <t>2026_01_16_CQ_0045.abf</t>
  </si>
  <si>
    <t>2026_01_29_DMG_0064.abf</t>
  </si>
  <si>
    <t>2026_01_30_DMG_0005.abf</t>
  </si>
  <si>
    <t>2026_01_30_DMG_0019.abf</t>
  </si>
  <si>
    <t>2026_01_30_DMG_0040.abf</t>
  </si>
  <si>
    <t>2026_01_30_DMG_0052.abf</t>
  </si>
  <si>
    <t>2026_01_30_DMG_0063.abf</t>
  </si>
  <si>
    <t>no abf spike</t>
  </si>
  <si>
    <t>2026_02_04_JCA_0005.abf</t>
  </si>
  <si>
    <t>2026_02_04_JCA_0016.abf</t>
  </si>
  <si>
    <t>2026_02_04_DMG_0005.abf</t>
  </si>
  <si>
    <t>2026_02_04_DMG_0016.abf</t>
  </si>
  <si>
    <t>2026_02_04_DMG_0028.abf</t>
  </si>
  <si>
    <t>2026_02_04_JCA_0027.abf</t>
  </si>
  <si>
    <t>2026_02_04_JCA_0038.abf</t>
  </si>
  <si>
    <t>2026_02_04_DMG_0039.abf</t>
  </si>
  <si>
    <t>2026_02_04_JCA_0049.abf</t>
  </si>
  <si>
    <t>2026_02_04_DMG_0050.abf</t>
  </si>
  <si>
    <t>Averages</t>
  </si>
  <si>
    <t>Excluded cells</t>
  </si>
  <si>
    <t>Firing (from metadata)</t>
  </si>
  <si>
    <t>RMP (from RMP file)</t>
  </si>
  <si>
    <t>CUTOFF (when RMP is above Vthresh</t>
  </si>
  <si>
    <t>dv/dt = 28</t>
  </si>
  <si>
    <t>Time of Thresh (ms)</t>
  </si>
  <si>
    <t>Cutoff</t>
  </si>
  <si>
    <t/>
  </si>
  <si>
    <t>noise, user</t>
  </si>
  <si>
    <t>No spike</t>
  </si>
  <si>
    <t>Cell Breakdown</t>
  </si>
  <si>
    <t>Biocytin</t>
  </si>
  <si>
    <t>Standard</t>
  </si>
  <si>
    <t>Proteome Breakdown</t>
  </si>
  <si>
    <t>Animals</t>
  </si>
  <si>
    <t>Ephys</t>
  </si>
  <si>
    <t>w/ Proteomes</t>
  </si>
  <si>
    <t>Female Bio CFM</t>
  </si>
  <si>
    <t>Male Bio CFM</t>
  </si>
  <si>
    <t>Female Bio Naive</t>
  </si>
  <si>
    <t>Male Bio Naive</t>
  </si>
  <si>
    <t>Female Standard CFM</t>
  </si>
  <si>
    <t>Male Standard CFM</t>
  </si>
  <si>
    <t>Female Standard Naive</t>
  </si>
  <si>
    <t>Male Standard Naive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</si>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</sst>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9C0006"/>
      <name val="Calibri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61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7CE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9" fillId="8" borderId="0" applyNumberFormat="0" applyBorder="0" applyAlignment="0" applyProtection="0"/>
    <xf numFmtId="0" fontId="15" fillId="10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5" borderId="0" xfId="0" applyFont="1" applyFill="1"/>
    <xf numFmtId="0" fontId="0" fillId="6" borderId="0" xfId="0" applyFill="1"/>
    <xf numFmtId="0" fontId="0" fillId="5" borderId="2" xfId="0" applyFill="1" applyBorder="1"/>
    <xf numFmtId="0" fontId="0" fillId="5" borderId="3" xfId="0" applyFill="1" applyBorder="1"/>
    <xf numFmtId="0" fontId="0" fillId="5" borderId="1" xfId="0" applyFill="1" applyBorder="1"/>
    <xf numFmtId="0" fontId="0" fillId="3" borderId="0" xfId="0" applyFill="1"/>
    <xf numFmtId="14" fontId="0" fillId="3" borderId="0" xfId="0" applyNumberFormat="1" applyFill="1"/>
    <xf numFmtId="0" fontId="0" fillId="7" borderId="0" xfId="0" applyFill="1"/>
    <xf numFmtId="14" fontId="0" fillId="7" borderId="0" xfId="0" applyNumberFormat="1" applyFill="1"/>
    <xf numFmtId="0" fontId="2" fillId="0" borderId="5" xfId="0" applyFont="1" applyBorder="1"/>
    <xf numFmtId="0" fontId="2" fillId="0" borderId="0" xfId="0" applyFont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6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0" fontId="0" fillId="2" borderId="7" xfId="0" applyFill="1" applyBorder="1"/>
    <xf numFmtId="0" fontId="0" fillId="2" borderId="6" xfId="0" applyFill="1" applyBorder="1"/>
    <xf numFmtId="0" fontId="1" fillId="0" borderId="8" xfId="0" applyFont="1" applyBorder="1"/>
    <xf numFmtId="0" fontId="1" fillId="0" borderId="9" xfId="0" applyFont="1" applyBorder="1"/>
    <xf numFmtId="0" fontId="1" fillId="4" borderId="9" xfId="0" applyFont="1" applyFill="1" applyBorder="1"/>
    <xf numFmtId="0" fontId="4" fillId="0" borderId="9" xfId="0" applyFont="1" applyBorder="1"/>
    <xf numFmtId="0" fontId="2" fillId="0" borderId="9" xfId="0" applyFont="1" applyBorder="1"/>
    <xf numFmtId="0" fontId="1" fillId="0" borderId="10" xfId="0" applyFont="1" applyBorder="1"/>
    <xf numFmtId="0" fontId="0" fillId="0" borderId="12" xfId="0" applyBorder="1"/>
    <xf numFmtId="0" fontId="0" fillId="0" borderId="14" xfId="0" applyBorder="1"/>
    <xf numFmtId="0" fontId="0" fillId="0" borderId="11" xfId="0" applyBorder="1"/>
    <xf numFmtId="0" fontId="0" fillId="2" borderId="11" xfId="0" applyFill="1" applyBorder="1"/>
    <xf numFmtId="0" fontId="0" fillId="0" borderId="13" xfId="0" applyBorder="1"/>
    <xf numFmtId="0" fontId="4" fillId="0" borderId="8" xfId="0" applyFont="1" applyBorder="1"/>
    <xf numFmtId="0" fontId="2" fillId="0" borderId="11" xfId="0" applyFont="1" applyBorder="1"/>
    <xf numFmtId="0" fontId="2" fillId="0" borderId="8" xfId="0" applyFont="1" applyBorder="1"/>
    <xf numFmtId="0" fontId="2" fillId="2" borderId="11" xfId="0" applyFont="1" applyFill="1" applyBorder="1"/>
    <xf numFmtId="9" fontId="0" fillId="0" borderId="11" xfId="0" applyNumberFormat="1" applyBorder="1"/>
    <xf numFmtId="9" fontId="0" fillId="0" borderId="13" xfId="0" applyNumberFormat="1" applyBorder="1"/>
    <xf numFmtId="0" fontId="7" fillId="0" borderId="0" xfId="0" applyFont="1"/>
    <xf numFmtId="164" fontId="0" fillId="0" borderId="0" xfId="0" applyNumberFormat="1"/>
    <xf numFmtId="0" fontId="2" fillId="0" borderId="15" xfId="0" applyFont="1" applyBorder="1"/>
    <xf numFmtId="0" fontId="8" fillId="0" borderId="0" xfId="0" applyFont="1"/>
    <xf numFmtId="0" fontId="2" fillId="0" borderId="16" xfId="0" applyFont="1" applyBorder="1"/>
    <xf numFmtId="0" fontId="0" fillId="0" borderId="17" xfId="0" applyBorder="1"/>
    <xf numFmtId="0" fontId="0" fillId="0" borderId="15" xfId="0" applyBorder="1"/>
    <xf numFmtId="0" fontId="0" fillId="0" borderId="16" xfId="0" applyBorder="1"/>
    <xf numFmtId="0" fontId="3" fillId="7" borderId="0" xfId="1" applyFont="1" applyFill="1"/>
    <xf numFmtId="14" fontId="3" fillId="7" borderId="0" xfId="1" applyNumberFormat="1" applyFont="1" applyFill="1"/>
    <xf numFmtId="0" fontId="0" fillId="0" borderId="18" xfId="0" applyBorder="1"/>
    <xf numFmtId="14" fontId="0" fillId="0" borderId="18" xfId="0" applyNumberFormat="1" applyBorder="1"/>
    <xf numFmtId="0" fontId="0" fillId="0" borderId="19" xfId="0" applyBorder="1"/>
    <xf numFmtId="14" fontId="0" fillId="0" borderId="19" xfId="0" applyNumberFormat="1" applyBorder="1"/>
    <xf numFmtId="0" fontId="7" fillId="0" borderId="18" xfId="0" applyFont="1" applyBorder="1"/>
    <xf numFmtId="14" fontId="7" fillId="0" borderId="18" xfId="0" applyNumberFormat="1" applyFont="1" applyBorder="1"/>
    <xf numFmtId="14" fontId="0" fillId="0" borderId="15" xfId="0" applyNumberFormat="1" applyBorder="1"/>
    <xf numFmtId="14" fontId="0" fillId="0" borderId="16" xfId="0" applyNumberFormat="1" applyBorder="1"/>
    <xf numFmtId="0" fontId="7" fillId="0" borderId="16" xfId="0" applyFont="1" applyBorder="1"/>
    <xf numFmtId="0" fontId="7" fillId="0" borderId="15" xfId="0" applyFont="1" applyBorder="1"/>
    <xf numFmtId="9" fontId="0" fillId="2" borderId="0" xfId="0" applyNumberFormat="1" applyFill="1"/>
    <xf numFmtId="164" fontId="0" fillId="2" borderId="0" xfId="0" applyNumberFormat="1" applyFill="1"/>
    <xf numFmtId="0" fontId="0" fillId="0" borderId="0" xfId="0" applyBorder="1"/>
    <xf numFmtId="0" fontId="10" fillId="0" borderId="0" xfId="0" applyFont="1"/>
    <xf numFmtId="0" fontId="7" fillId="0" borderId="7" xfId="0" applyFont="1" applyBorder="1"/>
    <xf numFmtId="0" fontId="7" fillId="0" borderId="6" xfId="0" applyFont="1" applyBorder="1"/>
    <xf numFmtId="0" fontId="7" fillId="0" borderId="19" xfId="0" applyFont="1" applyBorder="1"/>
    <xf numFmtId="0" fontId="0" fillId="0" borderId="0" xfId="0" applyFill="1"/>
    <xf numFmtId="0" fontId="11" fillId="0" borderId="0" xfId="0" applyFont="1"/>
    <xf numFmtId="0" fontId="12" fillId="9" borderId="0" xfId="0" applyFont="1" applyFill="1"/>
    <xf numFmtId="14" fontId="0" fillId="7" borderId="0" xfId="0" applyNumberFormat="1" applyFill="1" applyBorder="1"/>
    <xf numFmtId="0" fontId="0" fillId="7" borderId="0" xfId="0" applyFill="1" applyBorder="1"/>
    <xf numFmtId="0" fontId="3" fillId="0" borderId="0" xfId="1" applyFont="1" applyFill="1"/>
    <xf numFmtId="0" fontId="2" fillId="0" borderId="0" xfId="0" applyFont="1" applyFill="1" applyBorder="1" applyAlignment="1"/>
    <xf numFmtId="0" fontId="13" fillId="0" borderId="0" xfId="0" applyFont="1" applyFill="1" applyBorder="1" applyAlignment="1"/>
    <xf numFmtId="14" fontId="0" fillId="0" borderId="0" xfId="0" applyNumberFormat="1" applyBorder="1"/>
    <xf numFmtId="0" fontId="10" fillId="0" borderId="0" xfId="0" applyFont="1" applyBorder="1"/>
    <xf numFmtId="0" fontId="14" fillId="2" borderId="0" xfId="0" applyFont="1" applyFill="1"/>
    <xf numFmtId="0" fontId="15" fillId="10" borderId="0" xfId="2"/>
    <xf numFmtId="0" fontId="11" fillId="2" borderId="0" xfId="0" applyFont="1" applyFill="1"/>
    <xf numFmtId="0" fontId="2" fillId="0" borderId="18" xfId="0" applyFont="1" applyFill="1" applyBorder="1" applyAlignment="1"/>
    <xf numFmtId="0" fontId="2" fillId="0" borderId="19" xfId="0" applyFont="1" applyFill="1" applyBorder="1" applyAlignment="1"/>
    <xf numFmtId="0" fontId="2" fillId="0" borderId="15" xfId="0" applyFont="1" applyFill="1" applyBorder="1" applyAlignment="1"/>
    <xf numFmtId="0" fontId="2" fillId="0" borderId="16" xfId="0" applyFont="1" applyFill="1" applyBorder="1" applyAlignment="1"/>
    <xf numFmtId="0" fontId="13" fillId="0" borderId="16" xfId="0" applyFont="1" applyFill="1" applyBorder="1" applyAlignment="1"/>
    <xf numFmtId="0" fontId="13" fillId="0" borderId="15" xfId="0" applyFont="1" applyFill="1" applyBorder="1" applyAlignment="1"/>
    <xf numFmtId="0" fontId="2" fillId="0" borderId="0" xfId="0" applyFont="1" applyFill="1" applyAlignment="1"/>
    <xf numFmtId="14" fontId="7" fillId="0" borderId="0" xfId="0" applyNumberFormat="1" applyFont="1"/>
    <xf numFmtId="14" fontId="3" fillId="0" borderId="0" xfId="0" applyNumberFormat="1" applyFont="1"/>
    <xf numFmtId="0" fontId="3" fillId="0" borderId="0" xfId="0" applyFont="1"/>
    <xf numFmtId="0" fontId="3" fillId="3" borderId="0" xfId="0" applyFont="1" applyFill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11" xfId="0" applyFont="1" applyFill="1" applyBorder="1" applyAlignment="1"/>
    <xf numFmtId="0" fontId="2" fillId="0" borderId="12" xfId="0" applyFont="1" applyFill="1" applyBorder="1" applyAlignment="1"/>
    <xf numFmtId="0" fontId="3" fillId="0" borderId="0" xfId="0" applyFont="1" applyBorder="1"/>
    <xf numFmtId="0" fontId="13" fillId="0" borderId="11" xfId="0" applyFont="1" applyFill="1" applyBorder="1" applyAlignment="1"/>
    <xf numFmtId="0" fontId="7" fillId="0" borderId="0" xfId="0" applyFont="1" applyBorder="1"/>
    <xf numFmtId="0" fontId="13" fillId="0" borderId="12" xfId="0" applyFont="1" applyFill="1" applyBorder="1" applyAlignment="1"/>
    <xf numFmtId="0" fontId="7" fillId="0" borderId="11" xfId="0" applyFont="1" applyBorder="1"/>
    <xf numFmtId="0" fontId="2" fillId="0" borderId="13" xfId="0" applyFont="1" applyFill="1" applyBorder="1" applyAlignment="1"/>
    <xf numFmtId="0" fontId="2" fillId="0" borderId="14" xfId="0" applyFont="1" applyFill="1" applyBorder="1" applyAlignment="1"/>
    <xf numFmtId="0" fontId="2" fillId="0" borderId="0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2" fillId="2" borderId="0" xfId="0" applyFont="1" applyFill="1" applyBorder="1"/>
    <xf numFmtId="0" fontId="11" fillId="0" borderId="11" xfId="0" applyFont="1" applyBorder="1"/>
    <xf numFmtId="0" fontId="11" fillId="0" borderId="0" xfId="0" applyFont="1" applyBorder="1"/>
    <xf numFmtId="0" fontId="11" fillId="0" borderId="13" xfId="0" applyFont="1" applyBorder="1"/>
    <xf numFmtId="0" fontId="11" fillId="0" borderId="7" xfId="0" applyFont="1" applyBorder="1"/>
    <xf numFmtId="0" fontId="11" fillId="0" borderId="0" xfId="0" applyFont="1" applyFill="1"/>
    <xf numFmtId="0" fontId="3" fillId="0" borderId="0" xfId="0" applyFont="1" applyFill="1"/>
    <xf numFmtId="0" fontId="16" fillId="0" borderId="10" xfId="0" applyFont="1" applyFill="1" applyBorder="1"/>
    <xf numFmtId="0" fontId="2" fillId="0" borderId="12" xfId="0" applyFont="1" applyFill="1" applyBorder="1"/>
    <xf numFmtId="0" fontId="11" fillId="0" borderId="12" xfId="0" applyFont="1" applyFill="1" applyBorder="1"/>
    <xf numFmtId="0" fontId="3" fillId="0" borderId="12" xfId="0" applyFont="1" applyFill="1" applyBorder="1"/>
    <xf numFmtId="0" fontId="11" fillId="0" borderId="14" xfId="0" applyFont="1" applyFill="1" applyBorder="1"/>
    <xf numFmtId="0" fontId="2" fillId="0" borderId="23" xfId="0" applyFont="1" applyBorder="1"/>
    <xf numFmtId="0" fontId="2" fillId="2" borderId="15" xfId="0" applyFont="1" applyFill="1" applyBorder="1"/>
    <xf numFmtId="0" fontId="11" fillId="0" borderId="15" xfId="0" applyFont="1" applyBorder="1"/>
    <xf numFmtId="0" fontId="11" fillId="0" borderId="16" xfId="0" applyFont="1" applyBorder="1"/>
    <xf numFmtId="0" fontId="16" fillId="0" borderId="23" xfId="0" applyFont="1" applyFill="1" applyBorder="1"/>
    <xf numFmtId="0" fontId="17" fillId="0" borderId="15" xfId="2" applyFont="1" applyFill="1" applyBorder="1"/>
    <xf numFmtId="0" fontId="2" fillId="0" borderId="15" xfId="0" applyFont="1" applyFill="1" applyBorder="1"/>
    <xf numFmtId="0" fontId="11" fillId="0" borderId="15" xfId="0" applyFont="1" applyFill="1" applyBorder="1"/>
    <xf numFmtId="0" fontId="3" fillId="0" borderId="15" xfId="0" applyFont="1" applyFill="1" applyBorder="1"/>
    <xf numFmtId="0" fontId="17" fillId="0" borderId="16" xfId="2" applyFont="1" applyFill="1" applyBorder="1"/>
    <xf numFmtId="0" fontId="1" fillId="0" borderId="8" xfId="0" applyFont="1" applyFill="1" applyBorder="1"/>
    <xf numFmtId="0" fontId="1" fillId="0" borderId="9" xfId="0" applyFont="1" applyFill="1" applyBorder="1"/>
    <xf numFmtId="0" fontId="0" fillId="0" borderId="11" xfId="0" applyFill="1" applyBorder="1"/>
    <xf numFmtId="0" fontId="0" fillId="0" borderId="0" xfId="0" applyFill="1" applyBorder="1"/>
    <xf numFmtId="0" fontId="8" fillId="0" borderId="11" xfId="0" applyFont="1" applyFill="1" applyBorder="1"/>
    <xf numFmtId="0" fontId="8" fillId="0" borderId="0" xfId="0" applyFont="1" applyFill="1" applyBorder="1"/>
    <xf numFmtId="0" fontId="2" fillId="0" borderId="7" xfId="0" applyFont="1" applyFill="1" applyBorder="1" applyAlignment="1"/>
    <xf numFmtId="0" fontId="0" fillId="7" borderId="11" xfId="0" applyFill="1" applyBorder="1"/>
    <xf numFmtId="0" fontId="0" fillId="7" borderId="12" xfId="0" applyFill="1" applyBorder="1"/>
    <xf numFmtId="0" fontId="3" fillId="7" borderId="11" xfId="1" applyFont="1" applyFill="1" applyBorder="1"/>
    <xf numFmtId="0" fontId="0" fillId="0" borderId="8" xfId="0" applyBorder="1"/>
    <xf numFmtId="0" fontId="0" fillId="0" borderId="10" xfId="0" applyBorder="1"/>
    <xf numFmtId="0" fontId="1" fillId="3" borderId="9" xfId="0" applyFont="1" applyFill="1" applyBorder="1"/>
    <xf numFmtId="14" fontId="0" fillId="0" borderId="0" xfId="0" applyNumberFormat="1" applyFill="1"/>
  </cellXfs>
  <cellStyles count="3">
    <cellStyle name="Bad" xfId="1" builtinId="27"/>
    <cellStyle name="Good" xfId="2" builtinId="26"/>
    <cellStyle name="Normal" xfId="0" builtinId="0"/>
  </cellStyles>
  <dxfs count="601">
    <dxf>
      <fill>
        <patternFill patternType="solid"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8" tint="0.79998168889431442"/>
        </patternFill>
      </fill>
    </dxf>
  </dxfs>
  <tableStyles count="0" defaultTableStyle="TableStyleMedium2" defaultPivotStyle="PivotStyleMedium9"/>
  <colors>
    <mruColors>
      <color rgb="FFF584ED"/>
      <color rgb="FFFFCCCC"/>
      <color rgb="FFFFF48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56"/>
  <sheetViews>
    <sheetView topLeftCell="W1" workbookViewId="0">
      <selection activeCell="W2" sqref="W2"/>
    </sheetView>
  </sheetViews>
  <sheetFormatPr defaultRowHeight="15"/>
  <cols>
    <col min="1" max="1" width="11.42578125" bestFit="1" customWidth="1"/>
    <col min="2" max="2" width="17.7109375" bestFit="1" customWidth="1"/>
    <col min="11" max="11" width="18" bestFit="1" customWidth="1"/>
    <col min="12" max="12" width="16.85546875" bestFit="1" customWidth="1"/>
    <col min="13" max="13" width="13.5703125" bestFit="1" customWidth="1"/>
    <col min="14" max="14" width="12.85546875" bestFit="1" customWidth="1"/>
    <col min="15" max="15" width="14.7109375" bestFit="1" customWidth="1"/>
    <col min="16" max="17" width="12.5703125" bestFit="1" customWidth="1"/>
    <col min="25" max="25" width="16.140625" bestFit="1" customWidth="1"/>
    <col min="26" max="26" width="18.28515625" bestFit="1" customWidth="1"/>
    <col min="27" max="27" width="12.85546875" bestFit="1" customWidth="1"/>
    <col min="28" max="28" width="16.85546875" bestFit="1" customWidth="1"/>
    <col min="29" max="29" width="19" bestFit="1" customWidth="1"/>
    <col min="30" max="30" width="13.42578125" bestFit="1" customWidth="1"/>
    <col min="47" max="47" width="11.42578125" style="123" bestFit="1" customWidth="1"/>
    <col min="48" max="48" width="11.42578125" bestFit="1" customWidth="1"/>
    <col min="49" max="49" width="22.28515625" bestFit="1" customWidth="1"/>
    <col min="50" max="50" width="21.140625" bestFit="1" customWidth="1"/>
    <col min="53" max="53" width="13.5703125" bestFit="1" customWidth="1"/>
    <col min="54" max="57" width="9.140625" style="77"/>
    <col min="60" max="60" width="13.28515625" bestFit="1" customWidth="1"/>
  </cols>
  <sheetData>
    <row r="1" spans="1:60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8" t="s">
        <v>9</v>
      </c>
      <c r="K1" s="34" t="s">
        <v>10</v>
      </c>
      <c r="L1" s="34" t="s">
        <v>11</v>
      </c>
      <c r="M1" s="33" t="s">
        <v>12</v>
      </c>
      <c r="N1" s="34" t="s">
        <v>13</v>
      </c>
      <c r="O1" s="38" t="s">
        <v>14</v>
      </c>
      <c r="P1" s="151" t="s">
        <v>15</v>
      </c>
      <c r="Q1" s="35" t="s">
        <v>16</v>
      </c>
      <c r="R1" s="33" t="s">
        <v>17</v>
      </c>
      <c r="S1" s="34" t="s">
        <v>18</v>
      </c>
      <c r="T1" s="114" t="s">
        <v>19</v>
      </c>
      <c r="U1" s="115" t="s">
        <v>20</v>
      </c>
      <c r="V1" s="115" t="s">
        <v>21</v>
      </c>
      <c r="W1" s="115" t="s">
        <v>22</v>
      </c>
      <c r="X1" s="116" t="s">
        <v>23</v>
      </c>
      <c r="Y1" s="36" t="s">
        <v>24</v>
      </c>
      <c r="Z1" s="36" t="s">
        <v>25</v>
      </c>
      <c r="AA1" s="36" t="s">
        <v>26</v>
      </c>
      <c r="AB1" s="44" t="s">
        <v>27</v>
      </c>
      <c r="AC1" s="36" t="s">
        <v>28</v>
      </c>
      <c r="AD1" s="36" t="s">
        <v>29</v>
      </c>
      <c r="AE1" s="46">
        <v>0</v>
      </c>
      <c r="AF1" s="37">
        <v>50</v>
      </c>
      <c r="AG1" s="37">
        <v>100</v>
      </c>
      <c r="AH1" s="37">
        <v>150</v>
      </c>
      <c r="AI1" s="37">
        <v>200</v>
      </c>
      <c r="AJ1" s="37">
        <v>250</v>
      </c>
      <c r="AK1" s="37">
        <v>300</v>
      </c>
      <c r="AL1" s="37">
        <v>350</v>
      </c>
      <c r="AM1" s="37">
        <v>400</v>
      </c>
      <c r="AN1" s="37">
        <v>450</v>
      </c>
      <c r="AO1" s="37">
        <v>500</v>
      </c>
      <c r="AP1" s="37">
        <v>600</v>
      </c>
      <c r="AQ1" s="37">
        <v>700</v>
      </c>
      <c r="AR1" s="37">
        <v>800</v>
      </c>
      <c r="AS1" s="37">
        <v>900</v>
      </c>
      <c r="AT1" s="129">
        <v>100</v>
      </c>
      <c r="AU1" s="133" t="s">
        <v>30</v>
      </c>
      <c r="AV1" s="124" t="s">
        <v>31</v>
      </c>
      <c r="AW1" s="34" t="s">
        <v>32</v>
      </c>
      <c r="AX1" s="34" t="s">
        <v>33</v>
      </c>
      <c r="AY1" s="33" t="s">
        <v>34</v>
      </c>
      <c r="AZ1" s="34" t="s">
        <v>35</v>
      </c>
      <c r="BA1" s="34" t="s">
        <v>36</v>
      </c>
      <c r="BB1" s="139" t="s">
        <v>37</v>
      </c>
      <c r="BC1" s="140" t="s">
        <v>38</v>
      </c>
      <c r="BD1" s="140" t="s">
        <v>39</v>
      </c>
      <c r="BE1" s="140" t="s">
        <v>40</v>
      </c>
      <c r="BF1" s="149" t="s">
        <v>41</v>
      </c>
      <c r="BG1" s="149" t="s">
        <v>42</v>
      </c>
      <c r="BH1" s="150" t="s">
        <v>43</v>
      </c>
    </row>
    <row r="2" spans="1:60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G2" s="77" t="s">
        <v>47</v>
      </c>
      <c r="H2" t="s">
        <v>48</v>
      </c>
      <c r="I2" t="s">
        <v>49</v>
      </c>
      <c r="J2" t="s">
        <v>50</v>
      </c>
      <c r="K2" s="41">
        <v>-55.196163177490199</v>
      </c>
      <c r="L2">
        <v>-50</v>
      </c>
      <c r="M2" s="41">
        <v>-31.43310546875</v>
      </c>
      <c r="N2">
        <v>184.9365234375</v>
      </c>
      <c r="O2" s="22">
        <v>0</v>
      </c>
      <c r="P2" s="41">
        <v>0.76295205244147701</v>
      </c>
      <c r="Q2">
        <v>0.74435964217621731</v>
      </c>
      <c r="R2" s="41">
        <v>0.13747999999999999</v>
      </c>
      <c r="S2">
        <v>137.47999999999999</v>
      </c>
      <c r="T2" s="101">
        <v>6</v>
      </c>
      <c r="U2" s="102">
        <v>-80.411415100097599</v>
      </c>
      <c r="V2" s="102">
        <v>450.11080932617102</v>
      </c>
      <c r="W2" s="102">
        <f>V2-U2</f>
        <v>530.52222442626862</v>
      </c>
      <c r="X2" s="103">
        <v>1</v>
      </c>
      <c r="Y2" s="113">
        <v>-1.69432</v>
      </c>
      <c r="Z2" s="22">
        <v>-0.59567999999999999</v>
      </c>
      <c r="AA2" s="22">
        <v>0.141457</v>
      </c>
      <c r="AB2" s="45">
        <v>-2.42184</v>
      </c>
      <c r="AC2" s="22">
        <v>-1.1400999999999999</v>
      </c>
      <c r="AD2" s="22">
        <v>-0.13013</v>
      </c>
      <c r="AE2" s="45">
        <v>0</v>
      </c>
      <c r="AF2" s="113">
        <v>0</v>
      </c>
      <c r="AG2" s="113">
        <v>0</v>
      </c>
      <c r="AH2" s="113">
        <v>0</v>
      </c>
      <c r="AI2" s="113">
        <v>0</v>
      </c>
      <c r="AJ2" s="113">
        <v>4</v>
      </c>
      <c r="AK2" s="113">
        <v>7</v>
      </c>
      <c r="AL2" s="113">
        <v>8</v>
      </c>
      <c r="AM2" s="113">
        <v>7</v>
      </c>
      <c r="AN2" s="113">
        <v>8</v>
      </c>
      <c r="AO2" s="113">
        <v>7</v>
      </c>
      <c r="AP2" s="113">
        <v>6</v>
      </c>
      <c r="AQ2" s="113">
        <v>4</v>
      </c>
      <c r="AR2" s="113">
        <v>2</v>
      </c>
      <c r="AS2" s="113">
        <v>2</v>
      </c>
      <c r="AT2" s="52">
        <v>1</v>
      </c>
      <c r="AU2" s="134">
        <v>4</v>
      </c>
      <c r="AV2" s="125">
        <v>8</v>
      </c>
      <c r="AW2" s="72">
        <v>21</v>
      </c>
      <c r="AX2">
        <v>32</v>
      </c>
      <c r="AY2" s="48">
        <f>((AX2-AW2)/AW2)</f>
        <v>0.52380952380952384</v>
      </c>
      <c r="AZ2">
        <v>-50</v>
      </c>
      <c r="BA2" s="72">
        <v>-135</v>
      </c>
      <c r="BB2" s="141">
        <v>0.54160809516906705</v>
      </c>
      <c r="BC2" s="142">
        <v>469.3603515625</v>
      </c>
      <c r="BD2" s="142">
        <v>-86.669921875</v>
      </c>
      <c r="BE2" s="142">
        <v>122.1463088989257</v>
      </c>
      <c r="BF2" s="41">
        <v>-38.9404296875</v>
      </c>
      <c r="BG2" s="41"/>
      <c r="BH2" s="39"/>
    </row>
    <row r="3" spans="1:60">
      <c r="A3" s="2">
        <v>45979</v>
      </c>
      <c r="B3" t="s">
        <v>44</v>
      </c>
      <c r="C3">
        <v>63562</v>
      </c>
      <c r="D3">
        <v>1521</v>
      </c>
      <c r="E3" t="s">
        <v>51</v>
      </c>
      <c r="F3" t="s">
        <v>46</v>
      </c>
      <c r="G3" s="77" t="s">
        <v>47</v>
      </c>
      <c r="H3" t="s">
        <v>48</v>
      </c>
      <c r="I3" t="s">
        <v>52</v>
      </c>
      <c r="J3" t="s">
        <v>50</v>
      </c>
      <c r="K3" s="41">
        <v>-54.4396362304687</v>
      </c>
      <c r="L3">
        <v>-64</v>
      </c>
      <c r="M3" s="41">
        <v>-34.912109375</v>
      </c>
      <c r="N3">
        <v>200.8056640625</v>
      </c>
      <c r="O3" s="22">
        <v>4</v>
      </c>
      <c r="P3" s="41">
        <v>0.86011947162646374</v>
      </c>
      <c r="Q3">
        <v>0.89718576869840994</v>
      </c>
      <c r="R3" s="41">
        <v>0.12477000000000001</v>
      </c>
      <c r="S3">
        <v>124.77000000000001</v>
      </c>
      <c r="T3" s="41">
        <v>7</v>
      </c>
      <c r="U3" s="72">
        <v>-65.738418579101506</v>
      </c>
      <c r="V3" s="72">
        <v>591.587158203125</v>
      </c>
      <c r="W3" s="72">
        <f t="shared" ref="W3:W11" si="0">V3-U3</f>
        <v>657.32557678222656</v>
      </c>
      <c r="X3" s="39">
        <v>1</v>
      </c>
      <c r="Y3" s="113">
        <v>-1.9875499999999999</v>
      </c>
      <c r="Z3" s="22">
        <v>0.11816599999999999</v>
      </c>
      <c r="AA3" s="22">
        <v>-0.36612</v>
      </c>
      <c r="AB3" s="45">
        <v>-4.5315000000000003</v>
      </c>
      <c r="AC3" s="22">
        <v>-1.76966</v>
      </c>
      <c r="AD3" s="22">
        <v>-1.0198499999999999</v>
      </c>
      <c r="AE3" s="45">
        <v>0</v>
      </c>
      <c r="AF3" s="113">
        <v>0</v>
      </c>
      <c r="AG3" s="113">
        <v>0</v>
      </c>
      <c r="AH3" s="113">
        <v>0</v>
      </c>
      <c r="AI3" s="113">
        <v>4</v>
      </c>
      <c r="AJ3" s="113">
        <v>9</v>
      </c>
      <c r="AK3" s="113">
        <v>10</v>
      </c>
      <c r="AL3" s="113">
        <v>13</v>
      </c>
      <c r="AM3" s="113">
        <v>11</v>
      </c>
      <c r="AN3" s="113">
        <v>12</v>
      </c>
      <c r="AO3" s="113">
        <v>11</v>
      </c>
      <c r="AP3" s="113">
        <v>9</v>
      </c>
      <c r="AQ3" s="113">
        <v>8</v>
      </c>
      <c r="AR3" s="113">
        <v>5</v>
      </c>
      <c r="AS3" s="113">
        <v>2</v>
      </c>
      <c r="AT3" s="52">
        <v>1</v>
      </c>
      <c r="AU3" s="134">
        <v>4</v>
      </c>
      <c r="AV3" s="125">
        <v>13</v>
      </c>
      <c r="AW3" s="72">
        <v>21.4</v>
      </c>
      <c r="AX3">
        <v>32</v>
      </c>
      <c r="AY3" s="48">
        <f t="shared" ref="AY3:AY58" si="1">((AX3-AW3)/AW3)</f>
        <v>0.49532710280373843</v>
      </c>
      <c r="AZ3">
        <v>-65</v>
      </c>
      <c r="BA3" s="72">
        <v>-64</v>
      </c>
      <c r="BB3" s="141">
        <v>0.61902707815170299</v>
      </c>
      <c r="BC3" s="142">
        <v>360.7177734375</v>
      </c>
      <c r="BD3" s="142">
        <v>-90.9423828125</v>
      </c>
      <c r="BE3" s="142">
        <v>113.83620452880849</v>
      </c>
      <c r="BF3" s="41">
        <v>-36.80419921875</v>
      </c>
      <c r="BG3" s="41"/>
      <c r="BH3" s="39"/>
    </row>
    <row r="4" spans="1:60">
      <c r="A4" s="2">
        <v>45979</v>
      </c>
      <c r="B4" t="s">
        <v>44</v>
      </c>
      <c r="C4">
        <v>63563</v>
      </c>
      <c r="D4">
        <v>1522</v>
      </c>
      <c r="E4" t="s">
        <v>53</v>
      </c>
      <c r="F4" t="s">
        <v>46</v>
      </c>
      <c r="G4" s="77" t="s">
        <v>47</v>
      </c>
      <c r="H4" t="s">
        <v>54</v>
      </c>
      <c r="I4" t="s">
        <v>55</v>
      </c>
      <c r="J4" t="s">
        <v>50</v>
      </c>
      <c r="K4" s="41">
        <v>-60.491744995117102</v>
      </c>
      <c r="L4">
        <v>-62</v>
      </c>
      <c r="M4" s="41">
        <v>-28.25927734375</v>
      </c>
      <c r="N4">
        <v>239.2578125</v>
      </c>
      <c r="O4" s="22">
        <v>3</v>
      </c>
      <c r="P4" s="41">
        <v>0.8163861027216095</v>
      </c>
      <c r="Q4">
        <v>0.80689849342401632</v>
      </c>
      <c r="R4" s="41">
        <v>8.2229999999999998E-2</v>
      </c>
      <c r="S4">
        <v>82.23</v>
      </c>
      <c r="T4" s="41">
        <v>6</v>
      </c>
      <c r="U4" s="72">
        <v>-51.134372711181598</v>
      </c>
      <c r="V4" s="72">
        <v>1086.25366210937</v>
      </c>
      <c r="W4" s="72">
        <f t="shared" si="0"/>
        <v>1137.3880348205516</v>
      </c>
      <c r="X4" s="39">
        <v>1</v>
      </c>
      <c r="Y4" s="113">
        <v>0.20682300000000001</v>
      </c>
      <c r="Z4" s="22">
        <v>0.28311700000000001</v>
      </c>
      <c r="AA4" s="22">
        <v>0.185667</v>
      </c>
      <c r="AB4" s="45">
        <v>-0.41547000000000001</v>
      </c>
      <c r="AC4" s="22">
        <v>-0.36969000000000002</v>
      </c>
      <c r="AD4" s="22">
        <v>0.285028</v>
      </c>
      <c r="AE4" s="45">
        <v>0</v>
      </c>
      <c r="AF4" s="113">
        <v>0</v>
      </c>
      <c r="AG4" s="113">
        <v>0</v>
      </c>
      <c r="AH4" s="113">
        <v>0</v>
      </c>
      <c r="AI4" s="113">
        <v>3</v>
      </c>
      <c r="AJ4" s="113">
        <v>3</v>
      </c>
      <c r="AK4" s="113">
        <v>4</v>
      </c>
      <c r="AL4" s="113">
        <v>2</v>
      </c>
      <c r="AM4" s="113">
        <v>2</v>
      </c>
      <c r="AN4" s="113">
        <v>3</v>
      </c>
      <c r="AO4" s="113">
        <v>2</v>
      </c>
      <c r="AP4" s="113">
        <v>2</v>
      </c>
      <c r="AQ4" s="113">
        <v>2</v>
      </c>
      <c r="AR4" s="113">
        <v>2</v>
      </c>
      <c r="AS4" s="113">
        <v>2</v>
      </c>
      <c r="AT4" s="52">
        <v>1</v>
      </c>
      <c r="AU4" s="134">
        <v>3</v>
      </c>
      <c r="AV4" s="125">
        <v>4</v>
      </c>
      <c r="AW4" s="72">
        <v>11.8</v>
      </c>
      <c r="AX4">
        <v>15</v>
      </c>
      <c r="AY4" s="48">
        <f t="shared" si="1"/>
        <v>0.27118644067796605</v>
      </c>
      <c r="AZ4">
        <v>-75</v>
      </c>
      <c r="BA4" s="72">
        <v>-25</v>
      </c>
      <c r="BB4" s="141">
        <v>0.58323967456817605</v>
      </c>
      <c r="BC4" s="142">
        <v>324.70703125</v>
      </c>
      <c r="BD4" s="142">
        <v>-86.669921875</v>
      </c>
      <c r="BE4" s="142">
        <v>114.35036468505849</v>
      </c>
      <c r="BF4" s="41">
        <v>-42.205810546875</v>
      </c>
      <c r="BG4" s="41"/>
      <c r="BH4" s="39"/>
    </row>
    <row r="5" spans="1:60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G5" s="77" t="s">
        <v>57</v>
      </c>
      <c r="H5" t="s">
        <v>54</v>
      </c>
      <c r="I5" t="s">
        <v>58</v>
      </c>
      <c r="J5" t="s">
        <v>50</v>
      </c>
      <c r="K5" s="41">
        <v>-65.214653015136705</v>
      </c>
      <c r="L5" s="4"/>
      <c r="M5" s="41">
        <v>-39.55078125</v>
      </c>
      <c r="N5">
        <v>87.2802734375</v>
      </c>
      <c r="O5" s="23" t="s">
        <v>59</v>
      </c>
      <c r="P5" s="41">
        <v>0.80394594662233576</v>
      </c>
      <c r="Q5">
        <v>0.760590705801236</v>
      </c>
      <c r="R5" s="41">
        <v>0.30302000000000001</v>
      </c>
      <c r="S5">
        <v>303.02000000000004</v>
      </c>
      <c r="T5" s="41">
        <v>6</v>
      </c>
      <c r="U5" s="72">
        <v>-36.596687316894503</v>
      </c>
      <c r="V5" s="72">
        <v>292.46795654296801</v>
      </c>
      <c r="W5" s="72">
        <f t="shared" si="0"/>
        <v>329.06464385986249</v>
      </c>
      <c r="X5" s="39">
        <v>1</v>
      </c>
      <c r="Y5" s="113" t="s">
        <v>59</v>
      </c>
      <c r="Z5" s="22"/>
      <c r="AA5" s="22"/>
      <c r="AB5" s="45"/>
      <c r="AC5" s="22"/>
      <c r="AD5" s="22"/>
      <c r="AE5" s="47" t="s">
        <v>59</v>
      </c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30"/>
      <c r="AU5" s="135" t="s">
        <v>59</v>
      </c>
      <c r="AV5" s="125" t="s">
        <v>59</v>
      </c>
      <c r="AW5" s="72">
        <v>21</v>
      </c>
      <c r="AY5" s="48"/>
      <c r="AZ5">
        <v>-15</v>
      </c>
      <c r="BA5" s="72"/>
      <c r="BB5" s="141">
        <v>0.62347286939621005</v>
      </c>
      <c r="BC5" s="142">
        <v>545.654296875</v>
      </c>
      <c r="BD5" s="142">
        <v>-91.552734375</v>
      </c>
      <c r="BE5" s="142">
        <v>124.48431396484369</v>
      </c>
      <c r="BF5" s="41">
        <v>-41.717529296875</v>
      </c>
      <c r="BG5" s="41"/>
      <c r="BH5" s="39"/>
    </row>
    <row r="6" spans="1:60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G6" s="77" t="s">
        <v>57</v>
      </c>
      <c r="H6" t="s">
        <v>54</v>
      </c>
      <c r="I6" t="s">
        <v>61</v>
      </c>
      <c r="J6" t="s">
        <v>50</v>
      </c>
      <c r="K6" s="41">
        <v>-60.138164520263601</v>
      </c>
      <c r="L6">
        <v>-55</v>
      </c>
      <c r="M6" s="41">
        <v>-34.423828125</v>
      </c>
      <c r="N6">
        <v>172.119140625</v>
      </c>
      <c r="O6" s="22">
        <v>5</v>
      </c>
      <c r="P6" s="41">
        <v>0.75320763638427768</v>
      </c>
      <c r="Q6">
        <v>0.75665129922359409</v>
      </c>
      <c r="R6" s="41">
        <v>0.15997</v>
      </c>
      <c r="S6">
        <v>159.97</v>
      </c>
      <c r="T6" s="41">
        <v>6</v>
      </c>
      <c r="U6" s="72">
        <v>-51.163204193115199</v>
      </c>
      <c r="V6" s="72">
        <v>580.97644042968705</v>
      </c>
      <c r="W6" s="72">
        <f t="shared" si="0"/>
        <v>632.13964462280228</v>
      </c>
      <c r="X6" s="39">
        <v>1</v>
      </c>
      <c r="Y6" s="113">
        <v>-2.0233500000000002</v>
      </c>
      <c r="Z6" s="22">
        <v>-0.51273000000000002</v>
      </c>
      <c r="AA6" s="22">
        <v>-0.23860999999999999</v>
      </c>
      <c r="AB6" s="45">
        <v>-4.5042299999999997</v>
      </c>
      <c r="AC6" s="22">
        <v>-2.09334</v>
      </c>
      <c r="AD6" s="22">
        <v>-0.91647999999999996</v>
      </c>
      <c r="AE6" s="45">
        <v>0</v>
      </c>
      <c r="AF6" s="113">
        <v>0</v>
      </c>
      <c r="AG6" s="113">
        <v>0</v>
      </c>
      <c r="AH6" s="113">
        <v>0</v>
      </c>
      <c r="AI6" s="113">
        <v>5</v>
      </c>
      <c r="AJ6" s="113">
        <v>13</v>
      </c>
      <c r="AK6" s="113">
        <v>16</v>
      </c>
      <c r="AL6" s="113">
        <v>18</v>
      </c>
      <c r="AM6" s="113">
        <v>24</v>
      </c>
      <c r="AN6" s="113">
        <v>21</v>
      </c>
      <c r="AO6" s="113">
        <v>18</v>
      </c>
      <c r="AP6" s="113">
        <v>21</v>
      </c>
      <c r="AQ6" s="113">
        <v>17</v>
      </c>
      <c r="AR6" s="113">
        <v>16</v>
      </c>
      <c r="AS6" s="113">
        <v>15</v>
      </c>
      <c r="AT6" s="52">
        <v>10</v>
      </c>
      <c r="AU6" s="134">
        <v>5</v>
      </c>
      <c r="AV6" s="125">
        <v>24</v>
      </c>
      <c r="AW6" s="72">
        <v>17.7</v>
      </c>
      <c r="AX6">
        <v>19.100000000000001</v>
      </c>
      <c r="AY6" s="48">
        <f t="shared" si="1"/>
        <v>7.9096045197740231E-2</v>
      </c>
      <c r="AZ6">
        <v>-50</v>
      </c>
      <c r="BA6" s="72">
        <v>-75</v>
      </c>
      <c r="BB6" s="141">
        <v>0.63225173950195301</v>
      </c>
      <c r="BC6" s="142">
        <v>511.474609375</v>
      </c>
      <c r="BD6" s="142">
        <v>-100.09765625</v>
      </c>
      <c r="BE6" s="142">
        <v>129.57447814941401</v>
      </c>
      <c r="BF6" s="41">
        <v>-43.9453125</v>
      </c>
      <c r="BG6" s="41"/>
      <c r="BH6" s="39"/>
    </row>
    <row r="7" spans="1:60">
      <c r="A7" s="2">
        <v>45980</v>
      </c>
      <c r="B7" t="s">
        <v>44</v>
      </c>
      <c r="C7">
        <v>63564</v>
      </c>
      <c r="D7">
        <v>1525</v>
      </c>
      <c r="E7" t="s">
        <v>62</v>
      </c>
      <c r="F7" t="s">
        <v>46</v>
      </c>
      <c r="G7" s="77" t="s">
        <v>57</v>
      </c>
      <c r="H7" t="s">
        <v>54</v>
      </c>
      <c r="J7" t="s">
        <v>50</v>
      </c>
      <c r="K7" s="41">
        <v>-64.690956115722599</v>
      </c>
      <c r="L7">
        <v>-68</v>
      </c>
      <c r="M7" s="41">
        <v>-43.45703125</v>
      </c>
      <c r="N7">
        <v>79.9560546875</v>
      </c>
      <c r="O7" s="22">
        <v>10</v>
      </c>
      <c r="P7" s="41">
        <v>0.80272729746507898</v>
      </c>
      <c r="Q7">
        <v>0.80115065917360573</v>
      </c>
      <c r="R7" s="41">
        <v>0.25696999999999998</v>
      </c>
      <c r="S7">
        <v>256.96999999999997</v>
      </c>
      <c r="T7" s="41">
        <v>4</v>
      </c>
      <c r="U7" s="72">
        <v>-11.307598114013601</v>
      </c>
      <c r="V7" s="72">
        <v>469.15689086914</v>
      </c>
      <c r="W7" s="72">
        <f t="shared" si="0"/>
        <v>480.46448898315361</v>
      </c>
      <c r="X7" s="39">
        <v>1</v>
      </c>
      <c r="Y7" s="113">
        <v>-3.91</v>
      </c>
      <c r="Z7" s="22">
        <v>-0.90402000000000005</v>
      </c>
      <c r="AA7" s="22">
        <v>-0.52442</v>
      </c>
      <c r="AB7" s="45">
        <v>-7.4535</v>
      </c>
      <c r="AC7" s="22">
        <v>-5.1341599999999996</v>
      </c>
      <c r="AD7" s="22">
        <v>-1.57517</v>
      </c>
      <c r="AE7" s="45">
        <v>0</v>
      </c>
      <c r="AF7" s="113">
        <v>0</v>
      </c>
      <c r="AG7" s="113">
        <v>10</v>
      </c>
      <c r="AH7" s="113">
        <v>18</v>
      </c>
      <c r="AI7" s="113">
        <v>23</v>
      </c>
      <c r="AJ7" s="113">
        <v>27</v>
      </c>
      <c r="AK7" s="113">
        <v>30</v>
      </c>
      <c r="AL7" s="113">
        <v>31</v>
      </c>
      <c r="AM7" s="113">
        <v>33</v>
      </c>
      <c r="AN7" s="113">
        <v>34</v>
      </c>
      <c r="AO7" s="113">
        <v>34</v>
      </c>
      <c r="AP7" s="113">
        <v>38</v>
      </c>
      <c r="AQ7" s="113">
        <v>39</v>
      </c>
      <c r="AR7" s="113">
        <v>25</v>
      </c>
      <c r="AS7" s="113">
        <v>2</v>
      </c>
      <c r="AT7" s="52">
        <v>2</v>
      </c>
      <c r="AU7" s="134">
        <v>10</v>
      </c>
      <c r="AV7" s="125">
        <v>39</v>
      </c>
      <c r="AW7" s="72">
        <v>14.7</v>
      </c>
      <c r="AX7">
        <v>22</v>
      </c>
      <c r="AY7" s="48">
        <f t="shared" si="1"/>
        <v>0.49659863945578236</v>
      </c>
      <c r="AZ7">
        <v>-10</v>
      </c>
      <c r="BA7" s="72">
        <v>0</v>
      </c>
      <c r="BB7" s="141">
        <v>0.642261862754822</v>
      </c>
      <c r="BC7" s="142">
        <v>342.4072265625</v>
      </c>
      <c r="BD7" s="142">
        <v>-95.21484375</v>
      </c>
      <c r="BE7" s="142">
        <v>115.1384963989257</v>
      </c>
      <c r="BF7" s="41">
        <v>-38.6962890625</v>
      </c>
      <c r="BG7" s="41"/>
      <c r="BH7" s="39"/>
    </row>
    <row r="8" spans="1:60">
      <c r="A8" s="2">
        <v>45980</v>
      </c>
      <c r="B8" t="s">
        <v>44</v>
      </c>
      <c r="C8">
        <v>63565</v>
      </c>
      <c r="D8">
        <v>1526</v>
      </c>
      <c r="E8" t="s">
        <v>63</v>
      </c>
      <c r="F8" t="s">
        <v>46</v>
      </c>
      <c r="G8" s="77" t="s">
        <v>57</v>
      </c>
      <c r="H8" t="s">
        <v>48</v>
      </c>
      <c r="J8" t="s">
        <v>50</v>
      </c>
      <c r="K8" s="41">
        <v>-56.795608520507798</v>
      </c>
      <c r="L8">
        <v>-67</v>
      </c>
      <c r="M8" s="41">
        <v>-39.764404296875</v>
      </c>
      <c r="N8">
        <v>66.5283203125</v>
      </c>
      <c r="O8" s="22">
        <v>1</v>
      </c>
      <c r="P8" s="41">
        <v>0.74304893249825044</v>
      </c>
      <c r="Q8">
        <v>0.75221964810248676</v>
      </c>
      <c r="R8" s="41">
        <v>0.28971000000000002</v>
      </c>
      <c r="S8">
        <v>289.71000000000004</v>
      </c>
      <c r="T8" s="41">
        <v>4</v>
      </c>
      <c r="U8" s="72">
        <v>-11.305309295654199</v>
      </c>
      <c r="V8" s="72">
        <v>266.91143798828102</v>
      </c>
      <c r="W8" s="72">
        <f t="shared" si="0"/>
        <v>278.21674728393521</v>
      </c>
      <c r="X8" s="39">
        <v>1</v>
      </c>
      <c r="Y8" s="113">
        <v>-5.4093799999999996</v>
      </c>
      <c r="Z8" s="22">
        <v>0.144819</v>
      </c>
      <c r="AA8" s="22">
        <v>-5.21E-2</v>
      </c>
      <c r="AB8" s="45">
        <v>-7.5172699999999999</v>
      </c>
      <c r="AC8" s="22">
        <v>-2.4361000000000002</v>
      </c>
      <c r="AD8" s="22">
        <v>-0.72014999999999996</v>
      </c>
      <c r="AE8" s="45">
        <v>0</v>
      </c>
      <c r="AF8" s="113">
        <v>0</v>
      </c>
      <c r="AG8" s="113">
        <v>1</v>
      </c>
      <c r="AH8" s="113">
        <v>3</v>
      </c>
      <c r="AI8" s="113">
        <v>2</v>
      </c>
      <c r="AJ8" s="113">
        <v>2</v>
      </c>
      <c r="AK8" s="113">
        <v>2</v>
      </c>
      <c r="AL8" s="113">
        <v>2</v>
      </c>
      <c r="AM8" s="113">
        <v>1</v>
      </c>
      <c r="AN8" s="113">
        <v>1</v>
      </c>
      <c r="AO8" s="113">
        <v>1</v>
      </c>
      <c r="AP8" s="113">
        <v>1</v>
      </c>
      <c r="AQ8" s="113">
        <v>1</v>
      </c>
      <c r="AR8" s="113">
        <v>1</v>
      </c>
      <c r="AS8" s="113">
        <v>1</v>
      </c>
      <c r="AT8" s="52">
        <v>1</v>
      </c>
      <c r="AU8" s="134">
        <v>1</v>
      </c>
      <c r="AV8" s="125">
        <v>3</v>
      </c>
      <c r="AW8" s="72">
        <v>23</v>
      </c>
      <c r="AX8">
        <v>32</v>
      </c>
      <c r="AY8" s="48">
        <f t="shared" si="1"/>
        <v>0.39130434782608697</v>
      </c>
      <c r="AZ8">
        <v>-30</v>
      </c>
      <c r="BA8" s="72">
        <v>-10</v>
      </c>
      <c r="BB8" s="141">
        <v>0.58293956518173196</v>
      </c>
      <c r="BC8" s="142">
        <v>488.28125</v>
      </c>
      <c r="BD8" s="142">
        <v>-82.3974609375</v>
      </c>
      <c r="BE8" s="142">
        <v>115.96665191650391</v>
      </c>
      <c r="BF8" s="41">
        <v>-47.2412109375</v>
      </c>
      <c r="BG8" s="41"/>
      <c r="BH8" s="39"/>
    </row>
    <row r="9" spans="1:60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G9" s="77" t="s">
        <v>57</v>
      </c>
      <c r="H9" t="s">
        <v>48</v>
      </c>
      <c r="J9" t="s">
        <v>50</v>
      </c>
      <c r="K9" s="41">
        <v>-64.213279724120994</v>
      </c>
      <c r="L9" s="4"/>
      <c r="M9" s="41">
        <v>-39.154052734375</v>
      </c>
      <c r="N9">
        <v>203.2470703125</v>
      </c>
      <c r="O9" s="22">
        <v>1</v>
      </c>
      <c r="P9" s="41">
        <v>0.83196388063912197</v>
      </c>
      <c r="Q9">
        <v>0.87317797088860627</v>
      </c>
      <c r="R9" s="41">
        <v>0.1217</v>
      </c>
      <c r="S9">
        <v>121.7</v>
      </c>
      <c r="T9" s="41">
        <v>4</v>
      </c>
      <c r="U9" s="72">
        <v>-1.5657706260681099</v>
      </c>
      <c r="V9" s="72">
        <v>579.88092041015602</v>
      </c>
      <c r="W9" s="72">
        <f t="shared" si="0"/>
        <v>581.44669103622414</v>
      </c>
      <c r="X9" s="39">
        <v>1</v>
      </c>
      <c r="Y9" s="113">
        <v>-2.9762</v>
      </c>
      <c r="Z9" s="22">
        <v>-0.61109000000000002</v>
      </c>
      <c r="AA9" s="22">
        <v>0.52867500000000001</v>
      </c>
      <c r="AB9" s="45">
        <v>-5.68621</v>
      </c>
      <c r="AC9" s="22">
        <v>-1.7646999999999999</v>
      </c>
      <c r="AD9" s="22">
        <v>-0.84194999999999998</v>
      </c>
      <c r="AE9" s="45">
        <v>0</v>
      </c>
      <c r="AF9" s="113">
        <v>0</v>
      </c>
      <c r="AG9" s="113">
        <v>0</v>
      </c>
      <c r="AH9" s="113">
        <v>0</v>
      </c>
      <c r="AI9" s="113">
        <v>0</v>
      </c>
      <c r="AJ9" s="113">
        <v>1</v>
      </c>
      <c r="AK9" s="113">
        <v>4</v>
      </c>
      <c r="AL9" s="113">
        <v>4</v>
      </c>
      <c r="AM9" s="113">
        <v>5</v>
      </c>
      <c r="AN9" s="113">
        <v>5</v>
      </c>
      <c r="AO9" s="113">
        <v>6</v>
      </c>
      <c r="AP9" s="113">
        <v>7</v>
      </c>
      <c r="AQ9" s="113">
        <v>7</v>
      </c>
      <c r="AR9" s="113">
        <v>5</v>
      </c>
      <c r="AS9" s="113">
        <v>6</v>
      </c>
      <c r="AT9" s="52">
        <v>4</v>
      </c>
      <c r="AU9" s="134">
        <v>1</v>
      </c>
      <c r="AV9" s="125">
        <v>7</v>
      </c>
      <c r="AW9" s="72">
        <v>17.8</v>
      </c>
      <c r="AY9" s="48"/>
      <c r="AZ9">
        <v>-25</v>
      </c>
      <c r="BA9" s="72"/>
      <c r="BB9" s="141">
        <v>0.52303367853164695</v>
      </c>
      <c r="BC9" s="142">
        <v>431.5185546875</v>
      </c>
      <c r="BD9" s="142">
        <v>-79.345703125</v>
      </c>
      <c r="BE9" s="142">
        <v>118.1602325439453</v>
      </c>
      <c r="BF9" s="41">
        <v>-42.999267578125</v>
      </c>
      <c r="BG9" s="41"/>
      <c r="BH9" s="39"/>
    </row>
    <row r="10" spans="1:60">
      <c r="A10" s="2">
        <v>45981</v>
      </c>
      <c r="B10" t="s">
        <v>44</v>
      </c>
      <c r="C10">
        <v>63552</v>
      </c>
      <c r="D10">
        <v>1528</v>
      </c>
      <c r="E10" t="s">
        <v>51</v>
      </c>
      <c r="F10" t="s">
        <v>65</v>
      </c>
      <c r="G10" s="77" t="s">
        <v>57</v>
      </c>
      <c r="H10" t="s">
        <v>48</v>
      </c>
      <c r="I10" t="s">
        <v>66</v>
      </c>
      <c r="J10" t="s">
        <v>50</v>
      </c>
      <c r="K10" s="41">
        <v>-61.884849548339801</v>
      </c>
      <c r="L10">
        <v>-60</v>
      </c>
      <c r="M10" s="41">
        <v>-35.858154296875</v>
      </c>
      <c r="N10">
        <v>148.92578125</v>
      </c>
      <c r="O10" s="22">
        <v>1</v>
      </c>
      <c r="P10" s="41">
        <v>0.78632403159173536</v>
      </c>
      <c r="Q10">
        <v>0.8087111209003095</v>
      </c>
      <c r="R10" s="41">
        <v>0.18126</v>
      </c>
      <c r="S10">
        <v>181.26</v>
      </c>
      <c r="T10" s="41">
        <v>3</v>
      </c>
      <c r="U10" s="72">
        <v>-26.0365810394287</v>
      </c>
      <c r="V10" s="72">
        <v>428.74850463867102</v>
      </c>
      <c r="W10" s="72">
        <f t="shared" si="0"/>
        <v>454.78508567809973</v>
      </c>
      <c r="X10" s="39">
        <v>1</v>
      </c>
      <c r="Y10" s="113">
        <v>-0.99248000000000003</v>
      </c>
      <c r="Z10" s="22">
        <v>-0.24479999999999999</v>
      </c>
      <c r="AA10" s="22">
        <v>-0.31043999999999999</v>
      </c>
      <c r="AB10" s="45">
        <v>-1.63239</v>
      </c>
      <c r="AC10" s="22">
        <v>-0.44219999999999998</v>
      </c>
      <c r="AD10" s="22">
        <v>0.49798599999999998</v>
      </c>
      <c r="AE10" s="45">
        <v>0</v>
      </c>
      <c r="AF10" s="113">
        <v>0</v>
      </c>
      <c r="AG10" s="113">
        <v>0</v>
      </c>
      <c r="AH10" s="113">
        <v>1</v>
      </c>
      <c r="AI10" s="113">
        <v>2</v>
      </c>
      <c r="AJ10" s="113">
        <v>3</v>
      </c>
      <c r="AK10" s="113">
        <v>5</v>
      </c>
      <c r="AL10" s="113">
        <v>4</v>
      </c>
      <c r="AM10" s="113">
        <v>4</v>
      </c>
      <c r="AN10" s="113">
        <v>2</v>
      </c>
      <c r="AO10" s="113">
        <v>1</v>
      </c>
      <c r="AP10" s="113">
        <v>1</v>
      </c>
      <c r="AQ10" s="113">
        <v>1</v>
      </c>
      <c r="AR10" s="113">
        <v>1</v>
      </c>
      <c r="AS10" s="113">
        <v>1</v>
      </c>
      <c r="AT10" s="52">
        <v>1</v>
      </c>
      <c r="AU10" s="134">
        <v>1</v>
      </c>
      <c r="AV10" s="125">
        <v>5</v>
      </c>
      <c r="AW10" s="72">
        <v>22</v>
      </c>
      <c r="AX10">
        <v>21.9</v>
      </c>
      <c r="AY10" s="48">
        <f t="shared" si="1"/>
        <v>-4.5454545454546103E-3</v>
      </c>
      <c r="AZ10">
        <v>-50</v>
      </c>
      <c r="BA10" s="72">
        <v>-50</v>
      </c>
      <c r="BB10" s="141">
        <v>0.55986052751541104</v>
      </c>
      <c r="BC10" s="142">
        <v>659.7900390625</v>
      </c>
      <c r="BD10" s="142">
        <v>-87.890625</v>
      </c>
      <c r="BE10" s="142">
        <v>123.726806640625</v>
      </c>
      <c r="BF10" s="41">
        <v>-44.677734375</v>
      </c>
      <c r="BG10" s="41"/>
      <c r="BH10" s="39"/>
    </row>
    <row r="11" spans="1:60">
      <c r="A11" s="2">
        <v>45981</v>
      </c>
      <c r="B11" t="s">
        <v>44</v>
      </c>
      <c r="C11">
        <v>63553</v>
      </c>
      <c r="D11">
        <v>1529</v>
      </c>
      <c r="E11" t="s">
        <v>53</v>
      </c>
      <c r="F11" t="s">
        <v>65</v>
      </c>
      <c r="G11" s="77" t="s">
        <v>57</v>
      </c>
      <c r="H11" t="s">
        <v>54</v>
      </c>
      <c r="I11" t="s">
        <v>67</v>
      </c>
      <c r="J11" t="s">
        <v>50</v>
      </c>
      <c r="K11" s="41">
        <v>-64.257217407226506</v>
      </c>
      <c r="L11">
        <v>-58</v>
      </c>
      <c r="M11" s="41">
        <v>-33.447265625</v>
      </c>
      <c r="N11">
        <v>156.8603515625</v>
      </c>
      <c r="O11" s="22">
        <v>24</v>
      </c>
      <c r="P11" s="41">
        <v>0.75298613900665456</v>
      </c>
      <c r="Q11">
        <v>0.75973183343878825</v>
      </c>
      <c r="R11" s="41">
        <v>0.14752999999999999</v>
      </c>
      <c r="S11">
        <v>147.53</v>
      </c>
      <c r="T11" s="41">
        <v>8</v>
      </c>
      <c r="U11" s="72">
        <v>-51.2631225585937</v>
      </c>
      <c r="V11" s="72">
        <v>530.30163574218705</v>
      </c>
      <c r="W11" s="72">
        <f t="shared" si="0"/>
        <v>581.5647583007808</v>
      </c>
      <c r="X11" s="39">
        <v>1</v>
      </c>
      <c r="Y11" s="113">
        <v>-2.95892</v>
      </c>
      <c r="Z11" s="22">
        <v>1.6541E-2</v>
      </c>
      <c r="AA11" s="22">
        <v>-0.28555000000000003</v>
      </c>
      <c r="AB11" s="45">
        <v>-4.7777799999999999</v>
      </c>
      <c r="AC11" s="22">
        <v>-1.6497299999999999</v>
      </c>
      <c r="AD11" s="22">
        <v>-0.59082000000000001</v>
      </c>
      <c r="AE11" s="45">
        <v>0</v>
      </c>
      <c r="AF11" s="113">
        <v>0</v>
      </c>
      <c r="AG11" s="113">
        <v>0</v>
      </c>
      <c r="AH11" s="113">
        <v>10</v>
      </c>
      <c r="AI11" s="113">
        <v>24</v>
      </c>
      <c r="AJ11" s="113">
        <v>22</v>
      </c>
      <c r="AK11" s="113">
        <v>0</v>
      </c>
      <c r="AL11" s="113">
        <v>0</v>
      </c>
      <c r="AM11" s="113">
        <v>0</v>
      </c>
      <c r="AN11" s="113">
        <v>0</v>
      </c>
      <c r="AO11" s="113">
        <v>0</v>
      </c>
      <c r="AP11" s="113">
        <v>0</v>
      </c>
      <c r="AQ11" s="113">
        <v>0</v>
      </c>
      <c r="AR11" s="113">
        <v>0</v>
      </c>
      <c r="AS11" s="113">
        <v>0</v>
      </c>
      <c r="AT11" s="52">
        <v>0</v>
      </c>
      <c r="AU11" s="134">
        <v>10</v>
      </c>
      <c r="AV11" s="125">
        <v>24</v>
      </c>
      <c r="AW11" s="72">
        <v>17</v>
      </c>
      <c r="AX11">
        <v>24</v>
      </c>
      <c r="AY11" s="48">
        <f t="shared" si="1"/>
        <v>0.41176470588235292</v>
      </c>
      <c r="AZ11">
        <v>-25</v>
      </c>
      <c r="BA11" s="72">
        <v>-50</v>
      </c>
      <c r="BB11" s="141">
        <v>0.45778903365135198</v>
      </c>
      <c r="BC11" s="142">
        <v>444.9462890625</v>
      </c>
      <c r="BD11" s="142">
        <v>-104.98046875</v>
      </c>
      <c r="BE11" s="142">
        <v>115.8986740112304</v>
      </c>
      <c r="BF11" s="41">
        <v>-36.31591796875</v>
      </c>
      <c r="BG11" s="41"/>
      <c r="BH11" s="39"/>
    </row>
    <row r="12" spans="1:60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G12" s="77" t="s">
        <v>47</v>
      </c>
      <c r="H12" t="s">
        <v>54</v>
      </c>
      <c r="J12" t="s">
        <v>50</v>
      </c>
      <c r="K12" s="41">
        <v>-55.196163177490199</v>
      </c>
      <c r="L12">
        <v>-55</v>
      </c>
      <c r="M12" s="41">
        <v>-30.57861328125</v>
      </c>
      <c r="N12">
        <v>197.75390625</v>
      </c>
      <c r="O12" s="22">
        <v>1</v>
      </c>
      <c r="P12" s="41">
        <v>0.79436078467678761</v>
      </c>
      <c r="Q12">
        <v>0.756266815205071</v>
      </c>
      <c r="R12" s="41">
        <v>0.15720999999999999</v>
      </c>
      <c r="S12">
        <v>157.20999999999998</v>
      </c>
      <c r="T12" s="41">
        <v>5</v>
      </c>
      <c r="U12" s="72">
        <v>-75.590995788574205</v>
      </c>
      <c r="V12" s="72">
        <v>1036.78381347656</v>
      </c>
      <c r="W12" s="72">
        <f>V12-U12</f>
        <v>1112.3748092651342</v>
      </c>
      <c r="X12" s="39">
        <v>1</v>
      </c>
      <c r="Y12" s="72">
        <v>-1.9211387630000001</v>
      </c>
      <c r="Z12">
        <v>-0.53258895900000003</v>
      </c>
      <c r="AA12">
        <v>-0.52159309399999998</v>
      </c>
      <c r="AB12" s="41">
        <v>-3.1047954560000002</v>
      </c>
      <c r="AC12">
        <v>-2.784360886</v>
      </c>
      <c r="AD12">
        <v>-1.5762138370000001</v>
      </c>
      <c r="AE12" s="45">
        <v>0</v>
      </c>
      <c r="AF12" s="113">
        <v>0</v>
      </c>
      <c r="AG12" s="113">
        <v>0</v>
      </c>
      <c r="AH12" s="113">
        <v>0</v>
      </c>
      <c r="AI12" s="113">
        <v>1</v>
      </c>
      <c r="AJ12" s="113">
        <v>6</v>
      </c>
      <c r="AK12" s="113">
        <v>7</v>
      </c>
      <c r="AL12" s="113">
        <v>11</v>
      </c>
      <c r="AM12" s="113">
        <v>12</v>
      </c>
      <c r="AN12" s="113">
        <v>15</v>
      </c>
      <c r="AO12" s="113">
        <v>14</v>
      </c>
      <c r="AP12" s="113">
        <v>16</v>
      </c>
      <c r="AQ12" s="113">
        <v>19</v>
      </c>
      <c r="AR12" s="113">
        <v>19</v>
      </c>
      <c r="AS12" s="113">
        <v>19</v>
      </c>
      <c r="AT12" s="52">
        <v>14</v>
      </c>
      <c r="AU12" s="134">
        <v>1</v>
      </c>
      <c r="AV12" s="125">
        <v>19</v>
      </c>
      <c r="AW12" s="72">
        <v>15.9</v>
      </c>
      <c r="AX12">
        <v>19</v>
      </c>
      <c r="AY12" s="48">
        <f t="shared" si="1"/>
        <v>0.19496855345911948</v>
      </c>
      <c r="AZ12">
        <v>-50</v>
      </c>
      <c r="BA12" s="72">
        <v>-75</v>
      </c>
      <c r="BB12" s="141">
        <v>0.77293372154235795</v>
      </c>
      <c r="BC12" s="142">
        <v>353.3935546875</v>
      </c>
      <c r="BD12" s="142">
        <v>-89.111328125</v>
      </c>
      <c r="BE12" s="142">
        <v>129.09384918212891</v>
      </c>
      <c r="BF12" s="41">
        <v>-37.4755859375</v>
      </c>
      <c r="BG12" s="41"/>
      <c r="BH12" s="39"/>
    </row>
    <row r="13" spans="1:60">
      <c r="A13" s="2">
        <v>45985</v>
      </c>
      <c r="B13" t="s">
        <v>69</v>
      </c>
      <c r="C13">
        <v>63550</v>
      </c>
      <c r="D13" s="19">
        <v>1531</v>
      </c>
      <c r="E13" t="s">
        <v>68</v>
      </c>
      <c r="F13" t="s">
        <v>65</v>
      </c>
      <c r="G13" s="77" t="s">
        <v>47</v>
      </c>
      <c r="H13" t="s">
        <v>54</v>
      </c>
      <c r="J13" t="s">
        <v>50</v>
      </c>
      <c r="K13" s="41">
        <v>-54.4396362304687</v>
      </c>
      <c r="L13">
        <v>-65</v>
      </c>
      <c r="M13" s="41">
        <v>-29.23583984375</v>
      </c>
      <c r="N13">
        <v>83.6181640625</v>
      </c>
      <c r="O13" s="22">
        <v>6</v>
      </c>
      <c r="P13" s="41">
        <v>0.88546527654653784</v>
      </c>
      <c r="Q13">
        <v>0.92673152503642942</v>
      </c>
      <c r="R13" s="41">
        <v>0.49238999999999999</v>
      </c>
      <c r="S13">
        <v>492.39</v>
      </c>
      <c r="T13" s="41">
        <v>2</v>
      </c>
      <c r="U13" s="72">
        <v>6.2752866744995099</v>
      </c>
      <c r="V13" s="72">
        <v>644.01477050781205</v>
      </c>
      <c r="W13" s="72">
        <f t="shared" ref="W13:W16" si="2">V13-U13</f>
        <v>637.73948383331253</v>
      </c>
      <c r="X13" s="39">
        <v>1</v>
      </c>
      <c r="Y13" s="72">
        <v>-7.7076110839999998</v>
      </c>
      <c r="Z13">
        <v>-5.9070739750000003</v>
      </c>
      <c r="AA13">
        <v>0.50789642300000004</v>
      </c>
      <c r="AB13" s="41">
        <v>-9.2596187590000003</v>
      </c>
      <c r="AC13">
        <v>-9.2901363369999999</v>
      </c>
      <c r="AD13">
        <v>-2.2209033969999998</v>
      </c>
      <c r="AE13" s="45">
        <v>0</v>
      </c>
      <c r="AF13" s="113">
        <v>0</v>
      </c>
      <c r="AG13" s="113">
        <v>6</v>
      </c>
      <c r="AH13" s="113">
        <v>10</v>
      </c>
      <c r="AI13" s="113">
        <v>15</v>
      </c>
      <c r="AJ13" s="113">
        <v>15</v>
      </c>
      <c r="AK13" s="113">
        <v>20</v>
      </c>
      <c r="AL13" s="113">
        <v>22</v>
      </c>
      <c r="AM13" s="113">
        <v>10</v>
      </c>
      <c r="AN13" s="113">
        <v>5</v>
      </c>
      <c r="AO13" s="113">
        <v>5</v>
      </c>
      <c r="AP13" s="113">
        <v>4</v>
      </c>
      <c r="AQ13" s="113">
        <v>3</v>
      </c>
      <c r="AR13" s="113">
        <v>3</v>
      </c>
      <c r="AS13" s="113">
        <v>3</v>
      </c>
      <c r="AT13" s="52">
        <v>3</v>
      </c>
      <c r="AU13" s="134">
        <v>6</v>
      </c>
      <c r="AV13" s="125">
        <v>22</v>
      </c>
      <c r="AW13" s="72">
        <v>24.1</v>
      </c>
      <c r="AX13">
        <v>38</v>
      </c>
      <c r="AY13" s="48">
        <f t="shared" si="1"/>
        <v>0.57676348547717837</v>
      </c>
      <c r="AZ13">
        <v>5</v>
      </c>
      <c r="BA13" s="72">
        <v>0</v>
      </c>
      <c r="BB13" s="141">
        <v>0.59710901975631703</v>
      </c>
      <c r="BC13" s="142">
        <v>216.6748046875</v>
      </c>
      <c r="BD13" s="142">
        <v>-72.6318359375</v>
      </c>
      <c r="BE13" s="142">
        <v>100.1300506591796</v>
      </c>
      <c r="BF13" s="146">
        <v>-37.65869140625</v>
      </c>
      <c r="BG13" s="146" t="s">
        <v>70</v>
      </c>
      <c r="BH13" s="147" t="s">
        <v>71</v>
      </c>
    </row>
    <row r="14" spans="1:60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G14" s="77" t="s">
        <v>47</v>
      </c>
      <c r="H14" t="s">
        <v>54</v>
      </c>
      <c r="I14" t="s">
        <v>73</v>
      </c>
      <c r="J14" t="s">
        <v>50</v>
      </c>
      <c r="K14" s="41">
        <v>-60.491744995117102</v>
      </c>
      <c r="L14">
        <v>-45</v>
      </c>
      <c r="M14" s="41">
        <v>-37.78076171875</v>
      </c>
      <c r="N14">
        <v>117.1875</v>
      </c>
      <c r="O14" s="22">
        <v>11</v>
      </c>
      <c r="P14" s="41">
        <v>0.73507606426570093</v>
      </c>
      <c r="Q14">
        <v>0.76716738211832802</v>
      </c>
      <c r="R14" s="41">
        <v>0.17388000000000001</v>
      </c>
      <c r="S14">
        <v>173.88</v>
      </c>
      <c r="T14" s="41">
        <v>9</v>
      </c>
      <c r="U14" s="72">
        <v>-51.155197143554602</v>
      </c>
      <c r="V14" s="72">
        <v>555.873779296875</v>
      </c>
      <c r="W14" s="72">
        <f t="shared" si="2"/>
        <v>607.02897644042957</v>
      </c>
      <c r="X14" s="39">
        <v>1</v>
      </c>
      <c r="Y14" s="72">
        <v>-8.8638286589999993</v>
      </c>
      <c r="Z14">
        <v>-4.2861919400000001</v>
      </c>
      <c r="AA14">
        <v>-0.16186714199999999</v>
      </c>
      <c r="AB14" s="41">
        <v>-7.2644577029999997</v>
      </c>
      <c r="AC14">
        <v>-5.1129684449999999</v>
      </c>
      <c r="AD14">
        <v>-0.7284832</v>
      </c>
      <c r="AE14" s="45">
        <v>0</v>
      </c>
      <c r="AF14" s="113">
        <v>0</v>
      </c>
      <c r="AG14" s="113">
        <v>2</v>
      </c>
      <c r="AH14" s="113">
        <v>11</v>
      </c>
      <c r="AI14" s="113">
        <v>15</v>
      </c>
      <c r="AJ14" s="113">
        <v>20</v>
      </c>
      <c r="AK14" s="113">
        <v>21</v>
      </c>
      <c r="AL14" s="113">
        <v>24</v>
      </c>
      <c r="AM14" s="113">
        <v>24</v>
      </c>
      <c r="AN14" s="113">
        <v>27</v>
      </c>
      <c r="AO14" s="113">
        <v>22</v>
      </c>
      <c r="AP14" s="113">
        <v>19</v>
      </c>
      <c r="AQ14" s="113">
        <v>17</v>
      </c>
      <c r="AR14" s="113">
        <v>13</v>
      </c>
      <c r="AS14" s="113">
        <v>1</v>
      </c>
      <c r="AT14" s="52">
        <v>1</v>
      </c>
      <c r="AU14" s="134">
        <v>2</v>
      </c>
      <c r="AV14" s="125">
        <v>27</v>
      </c>
      <c r="AW14" s="72">
        <v>14.5</v>
      </c>
      <c r="AX14">
        <v>14.5</v>
      </c>
      <c r="AY14" s="48">
        <f t="shared" si="1"/>
        <v>0</v>
      </c>
      <c r="AZ14">
        <v>-50</v>
      </c>
      <c r="BA14" s="72">
        <v>-125</v>
      </c>
      <c r="BB14" s="141">
        <v>0.69332736730575595</v>
      </c>
      <c r="BC14" s="142">
        <v>494.384765625</v>
      </c>
      <c r="BD14" s="142">
        <v>-89.7216796875</v>
      </c>
      <c r="BE14" s="142">
        <v>127.79644775390619</v>
      </c>
      <c r="BF14" s="41">
        <v>-40.1611328125</v>
      </c>
      <c r="BG14" s="41"/>
      <c r="BH14" s="39"/>
    </row>
    <row r="15" spans="1:60">
      <c r="A15" s="2">
        <v>45985</v>
      </c>
      <c r="B15" t="s">
        <v>69</v>
      </c>
      <c r="C15">
        <v>63550</v>
      </c>
      <c r="D15" s="19">
        <v>1533</v>
      </c>
      <c r="E15" t="s">
        <v>74</v>
      </c>
      <c r="F15" t="s">
        <v>65</v>
      </c>
      <c r="G15" s="77" t="s">
        <v>47</v>
      </c>
      <c r="H15" t="s">
        <v>54</v>
      </c>
      <c r="J15" t="s">
        <v>50</v>
      </c>
      <c r="K15" s="41">
        <v>-65.214653015136705</v>
      </c>
      <c r="L15">
        <v>-59</v>
      </c>
      <c r="M15" s="41">
        <v>-38.4521484375</v>
      </c>
      <c r="N15">
        <v>63.4765625</v>
      </c>
      <c r="O15" s="22">
        <v>15</v>
      </c>
      <c r="P15" s="42"/>
      <c r="Q15" s="4"/>
      <c r="R15" s="42"/>
      <c r="S15" s="4"/>
      <c r="T15" s="41">
        <v>4</v>
      </c>
      <c r="U15" s="72">
        <v>-8.4365472793579102</v>
      </c>
      <c r="V15" s="72">
        <v>272.02899169921801</v>
      </c>
      <c r="W15" s="72">
        <f t="shared" si="2"/>
        <v>280.46553897857592</v>
      </c>
      <c r="X15" s="39">
        <v>1</v>
      </c>
      <c r="Y15" s="72">
        <v>-5.0319271089999997</v>
      </c>
      <c r="Z15">
        <v>-1.2782649989999999</v>
      </c>
      <c r="AA15">
        <v>-0.59458732599999997</v>
      </c>
      <c r="AB15" s="41">
        <v>-8.5939064030000001</v>
      </c>
      <c r="AC15">
        <v>-6.3813819890000003</v>
      </c>
      <c r="AD15">
        <v>0.33731651299999998</v>
      </c>
      <c r="AE15" s="45">
        <v>0</v>
      </c>
      <c r="AF15" s="113">
        <v>1</v>
      </c>
      <c r="AG15" s="113">
        <v>15</v>
      </c>
      <c r="AH15" s="113">
        <v>21</v>
      </c>
      <c r="AI15" s="113">
        <v>25</v>
      </c>
      <c r="AJ15" s="113">
        <v>28</v>
      </c>
      <c r="AK15" s="113">
        <v>30</v>
      </c>
      <c r="AL15" s="113">
        <v>32</v>
      </c>
      <c r="AM15" s="113">
        <v>35</v>
      </c>
      <c r="AN15" s="113">
        <v>38</v>
      </c>
      <c r="AO15" s="113">
        <v>42</v>
      </c>
      <c r="AP15" s="113">
        <v>10</v>
      </c>
      <c r="AQ15" s="113">
        <v>1</v>
      </c>
      <c r="AR15" s="113">
        <v>1</v>
      </c>
      <c r="AS15" s="113">
        <v>1</v>
      </c>
      <c r="AT15" s="52">
        <v>1</v>
      </c>
      <c r="AU15" s="134">
        <v>1</v>
      </c>
      <c r="AV15" s="125">
        <v>42</v>
      </c>
      <c r="AW15" s="72">
        <v>24.3</v>
      </c>
      <c r="AX15">
        <v>25.3</v>
      </c>
      <c r="AY15" s="48">
        <f t="shared" si="1"/>
        <v>4.1152263374485597E-2</v>
      </c>
      <c r="AZ15">
        <v>-10</v>
      </c>
      <c r="BA15" s="72">
        <v>-25</v>
      </c>
      <c r="BB15" s="141">
        <v>0.73656040430069003</v>
      </c>
      <c r="BC15" s="142">
        <v>438.8427734375</v>
      </c>
      <c r="BD15" s="142">
        <v>-79.9560546875</v>
      </c>
      <c r="BE15" s="142">
        <v>120.7621307373046</v>
      </c>
      <c r="BF15" s="146">
        <v>-42.510986328125</v>
      </c>
      <c r="BG15" s="146" t="s">
        <v>70</v>
      </c>
      <c r="BH15" s="147" t="s">
        <v>75</v>
      </c>
    </row>
    <row r="16" spans="1:60">
      <c r="A16" s="2">
        <v>45985</v>
      </c>
      <c r="B16" t="s">
        <v>44</v>
      </c>
      <c r="C16">
        <v>63551</v>
      </c>
      <c r="D16">
        <v>1534</v>
      </c>
      <c r="E16" t="s">
        <v>76</v>
      </c>
      <c r="F16" t="s">
        <v>65</v>
      </c>
      <c r="G16" s="77" t="s">
        <v>47</v>
      </c>
      <c r="H16" t="s">
        <v>48</v>
      </c>
      <c r="I16" t="s">
        <v>77</v>
      </c>
      <c r="J16" t="s">
        <v>50</v>
      </c>
      <c r="K16" s="41">
        <v>-60.138164520263601</v>
      </c>
      <c r="L16">
        <v>-53</v>
      </c>
      <c r="M16" s="41">
        <v>-29.1748046875</v>
      </c>
      <c r="N16">
        <v>261.8408203125</v>
      </c>
      <c r="O16" s="22">
        <v>0</v>
      </c>
      <c r="P16" s="41">
        <v>0.75454746611260703</v>
      </c>
      <c r="Q16">
        <v>0.76369688825071291</v>
      </c>
      <c r="R16" s="41">
        <v>8.2239999999999994E-2</v>
      </c>
      <c r="S16">
        <v>82.24</v>
      </c>
      <c r="T16" s="41">
        <v>3</v>
      </c>
      <c r="U16" s="72">
        <v>-100.101936340332</v>
      </c>
      <c r="V16" s="72">
        <v>961.58538818359295</v>
      </c>
      <c r="W16" s="72">
        <f t="shared" si="2"/>
        <v>1061.6873245239249</v>
      </c>
      <c r="X16" s="39">
        <v>1</v>
      </c>
      <c r="Y16" s="72">
        <v>-0.78960800200000003</v>
      </c>
      <c r="Z16">
        <v>-0.25555038499999999</v>
      </c>
      <c r="AA16">
        <v>-0.30863380400000001</v>
      </c>
      <c r="AB16" s="41">
        <v>-1.411031723</v>
      </c>
      <c r="AC16">
        <v>-0.34291648899999999</v>
      </c>
      <c r="AD16">
        <v>0.12630081200000001</v>
      </c>
      <c r="AE16" s="45">
        <v>0</v>
      </c>
      <c r="AF16" s="113">
        <v>0</v>
      </c>
      <c r="AG16" s="113">
        <v>0</v>
      </c>
      <c r="AH16" s="113">
        <v>0</v>
      </c>
      <c r="AI16" s="113">
        <v>0</v>
      </c>
      <c r="AJ16" s="113">
        <v>0</v>
      </c>
      <c r="AK16" s="113">
        <v>0</v>
      </c>
      <c r="AL16" s="113">
        <v>6</v>
      </c>
      <c r="AM16" s="113">
        <v>13</v>
      </c>
      <c r="AN16" s="113">
        <v>20</v>
      </c>
      <c r="AO16" s="113">
        <v>21</v>
      </c>
      <c r="AP16" s="113">
        <v>24</v>
      </c>
      <c r="AQ16" s="113">
        <v>24</v>
      </c>
      <c r="AR16" s="113">
        <v>19</v>
      </c>
      <c r="AS16" s="113">
        <v>14</v>
      </c>
      <c r="AT16" s="52">
        <v>12</v>
      </c>
      <c r="AU16" s="134">
        <v>6</v>
      </c>
      <c r="AV16" s="125">
        <v>24</v>
      </c>
      <c r="AW16" s="72">
        <v>14</v>
      </c>
      <c r="AX16">
        <v>14</v>
      </c>
      <c r="AY16" s="48">
        <f t="shared" si="1"/>
        <v>0</v>
      </c>
      <c r="AZ16">
        <v>-75</v>
      </c>
      <c r="BA16" s="72">
        <v>-125</v>
      </c>
      <c r="BB16" s="141">
        <v>0.60634887218475297</v>
      </c>
      <c r="BC16" s="142">
        <v>600.5859375</v>
      </c>
      <c r="BD16" s="142">
        <v>-93.3837890625</v>
      </c>
      <c r="BE16" s="142">
        <v>133.0154113769531</v>
      </c>
      <c r="BF16" s="41">
        <v>-40.191650390625</v>
      </c>
      <c r="BG16" s="41"/>
      <c r="BH16" s="39"/>
    </row>
    <row r="17" spans="1:60">
      <c r="A17" s="2">
        <v>46000</v>
      </c>
      <c r="B17" t="s">
        <v>69</v>
      </c>
      <c r="C17">
        <v>63542</v>
      </c>
      <c r="D17" s="19">
        <v>1536</v>
      </c>
      <c r="E17" t="s">
        <v>78</v>
      </c>
      <c r="F17" t="s">
        <v>65</v>
      </c>
      <c r="G17" s="77" t="s">
        <v>57</v>
      </c>
      <c r="H17" t="s">
        <v>48</v>
      </c>
      <c r="I17" t="s">
        <v>79</v>
      </c>
      <c r="J17" t="s">
        <v>80</v>
      </c>
      <c r="K17" s="41">
        <v>-66.048759460449205</v>
      </c>
      <c r="L17">
        <v>-65</v>
      </c>
      <c r="M17" s="41">
        <v>-43.76220703125</v>
      </c>
      <c r="N17">
        <v>130.615234375</v>
      </c>
      <c r="O17" s="22">
        <v>8</v>
      </c>
      <c r="P17" s="41">
        <v>0.63972819194967734</v>
      </c>
      <c r="Q17">
        <v>0.66861833646844759</v>
      </c>
      <c r="R17" s="41">
        <v>9.289E-2</v>
      </c>
      <c r="S17">
        <v>92.89</v>
      </c>
      <c r="T17" s="41">
        <v>3</v>
      </c>
      <c r="U17" s="72">
        <v>-8.6875562667846609</v>
      </c>
      <c r="V17" s="72">
        <v>552.13342285156205</v>
      </c>
      <c r="W17" s="72">
        <f>V17-U17</f>
        <v>560.82097911834671</v>
      </c>
      <c r="X17" s="39">
        <v>2</v>
      </c>
      <c r="Y17" s="72">
        <v>-8.4507675169999992</v>
      </c>
      <c r="Z17">
        <v>-2.6066513059999998</v>
      </c>
      <c r="AA17">
        <v>-0.33975029000000001</v>
      </c>
      <c r="AB17" s="41">
        <v>-10.531652449999999</v>
      </c>
      <c r="AC17">
        <v>-7.8461055760000002</v>
      </c>
      <c r="AD17">
        <v>-1.1876029969999999</v>
      </c>
      <c r="AE17" s="45">
        <v>0</v>
      </c>
      <c r="AF17" s="113">
        <v>0</v>
      </c>
      <c r="AG17" s="113">
        <v>0</v>
      </c>
      <c r="AH17" s="113">
        <v>8</v>
      </c>
      <c r="AI17" s="113">
        <v>12</v>
      </c>
      <c r="AJ17" s="113">
        <v>14</v>
      </c>
      <c r="AK17" s="113">
        <v>15</v>
      </c>
      <c r="AL17" s="113">
        <v>16</v>
      </c>
      <c r="AM17" s="113">
        <v>16</v>
      </c>
      <c r="AN17" s="113">
        <v>16</v>
      </c>
      <c r="AO17" s="113">
        <v>16</v>
      </c>
      <c r="AP17" s="113">
        <v>14</v>
      </c>
      <c r="AQ17" s="113">
        <v>14</v>
      </c>
      <c r="AR17" s="113">
        <v>13</v>
      </c>
      <c r="AS17" s="113">
        <v>14</v>
      </c>
      <c r="AT17" s="52">
        <v>1</v>
      </c>
      <c r="AU17" s="134">
        <v>8</v>
      </c>
      <c r="AV17" s="125">
        <v>16</v>
      </c>
      <c r="AW17" s="72">
        <v>17.600000000000001</v>
      </c>
      <c r="AX17">
        <v>19.399999999999999</v>
      </c>
      <c r="AY17" s="48">
        <f t="shared" si="1"/>
        <v>0.1022727272727271</v>
      </c>
      <c r="AZ17">
        <v>-10</v>
      </c>
      <c r="BA17" s="72">
        <v>-10</v>
      </c>
      <c r="BB17" s="141">
        <v>0.61480087041854903</v>
      </c>
      <c r="BC17" s="142">
        <v>324.0966796875</v>
      </c>
      <c r="BD17" s="142">
        <v>-75.0732421875</v>
      </c>
      <c r="BE17" s="142">
        <v>118.0130996704101</v>
      </c>
      <c r="BF17" s="146">
        <v>-50.4150390625</v>
      </c>
      <c r="BG17" s="146" t="s">
        <v>70</v>
      </c>
      <c r="BH17" s="147" t="s">
        <v>80</v>
      </c>
    </row>
    <row r="18" spans="1:60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G18" s="77" t="s">
        <v>57</v>
      </c>
      <c r="H18" t="s">
        <v>54</v>
      </c>
      <c r="I18" t="s">
        <v>81</v>
      </c>
      <c r="J18" t="s">
        <v>50</v>
      </c>
      <c r="K18" s="41">
        <v>-59.208274841308501</v>
      </c>
      <c r="L18">
        <v>-15</v>
      </c>
      <c r="M18" s="41">
        <v>-28.167724609375</v>
      </c>
      <c r="N18">
        <v>433.9599609375</v>
      </c>
      <c r="O18" s="22">
        <v>0</v>
      </c>
      <c r="P18" s="41">
        <v>0.90594709346761515</v>
      </c>
      <c r="Q18">
        <v>0.86601634251491744</v>
      </c>
      <c r="R18" s="41">
        <v>8.6360000000000006E-2</v>
      </c>
      <c r="S18">
        <v>86.36</v>
      </c>
      <c r="T18" s="41">
        <v>10</v>
      </c>
      <c r="U18" s="72">
        <v>-174.17474365234301</v>
      </c>
      <c r="V18" s="72">
        <v>1265.77526855468</v>
      </c>
      <c r="W18" s="72">
        <f t="shared" ref="W18:W33" si="3">V18-U18</f>
        <v>1439.9500122070231</v>
      </c>
      <c r="X18" s="39">
        <v>1</v>
      </c>
      <c r="Y18" s="72">
        <v>-0.90208244299999996</v>
      </c>
      <c r="Z18">
        <v>-0.38328361500000002</v>
      </c>
      <c r="AA18">
        <v>0.153627396</v>
      </c>
      <c r="AB18" s="41">
        <v>-0.89201164200000005</v>
      </c>
      <c r="AC18">
        <v>-0.43424797100000001</v>
      </c>
      <c r="AD18">
        <v>-0.73923301699999999</v>
      </c>
      <c r="AE18" s="45">
        <v>0</v>
      </c>
      <c r="AF18" s="113">
        <v>0</v>
      </c>
      <c r="AG18" s="113">
        <v>0</v>
      </c>
      <c r="AH18" s="113">
        <v>0</v>
      </c>
      <c r="AI18" s="113">
        <v>0</v>
      </c>
      <c r="AJ18" s="113">
        <v>0</v>
      </c>
      <c r="AK18" s="113">
        <v>0</v>
      </c>
      <c r="AL18" s="113">
        <v>0</v>
      </c>
      <c r="AM18" s="113">
        <v>0</v>
      </c>
      <c r="AN18" s="113">
        <v>0</v>
      </c>
      <c r="AO18" s="113">
        <v>0</v>
      </c>
      <c r="AP18" s="113">
        <v>6</v>
      </c>
      <c r="AQ18" s="113">
        <v>11</v>
      </c>
      <c r="AR18" s="113">
        <v>16</v>
      </c>
      <c r="AS18" s="113">
        <v>19</v>
      </c>
      <c r="AT18" s="52">
        <v>21</v>
      </c>
      <c r="AU18" s="134">
        <v>6</v>
      </c>
      <c r="AV18" s="125">
        <v>21</v>
      </c>
      <c r="AW18" s="72">
        <v>13.4</v>
      </c>
      <c r="AX18">
        <v>13.4</v>
      </c>
      <c r="AY18" s="48">
        <f t="shared" si="1"/>
        <v>0</v>
      </c>
      <c r="AZ18">
        <v>-75</v>
      </c>
      <c r="BA18" s="72">
        <v>-250</v>
      </c>
      <c r="BB18" s="141">
        <v>0.48238804936409002</v>
      </c>
      <c r="BC18" s="142">
        <v>528.564453125</v>
      </c>
      <c r="BD18" s="142">
        <v>-134.8876953125</v>
      </c>
      <c r="BE18" s="142">
        <v>130.9971084594726</v>
      </c>
      <c r="BF18" s="41">
        <v>-27.099609375</v>
      </c>
      <c r="BG18" s="41"/>
      <c r="BH18" s="39"/>
    </row>
    <row r="19" spans="1:60">
      <c r="A19" s="2">
        <v>46000</v>
      </c>
      <c r="B19" t="s">
        <v>69</v>
      </c>
      <c r="C19">
        <v>63543</v>
      </c>
      <c r="D19" s="19">
        <v>1538</v>
      </c>
      <c r="E19" t="s">
        <v>82</v>
      </c>
      <c r="F19" t="s">
        <v>65</v>
      </c>
      <c r="G19" s="77" t="s">
        <v>57</v>
      </c>
      <c r="H19" t="s">
        <v>54</v>
      </c>
      <c r="I19" t="s">
        <v>83</v>
      </c>
      <c r="J19" t="s">
        <v>80</v>
      </c>
      <c r="K19" s="41">
        <v>-69.174057006835895</v>
      </c>
      <c r="L19">
        <v>-68</v>
      </c>
      <c r="M19" s="41">
        <v>-44.5556640625</v>
      </c>
      <c r="N19">
        <v>150.146484375</v>
      </c>
      <c r="O19" s="22">
        <v>10</v>
      </c>
      <c r="P19" s="41">
        <v>0.67506567409620155</v>
      </c>
      <c r="Q19">
        <v>0.66289996373118487</v>
      </c>
      <c r="R19" s="41">
        <v>7.8490000000000004E-2</v>
      </c>
      <c r="S19">
        <v>78.490000000000009</v>
      </c>
      <c r="T19" s="41">
        <v>4</v>
      </c>
      <c r="U19" s="72">
        <v>30.408351898193299</v>
      </c>
      <c r="V19" s="72">
        <v>718.86895751953102</v>
      </c>
      <c r="W19" s="72">
        <f t="shared" si="3"/>
        <v>688.46060562133778</v>
      </c>
      <c r="X19" s="39">
        <v>2</v>
      </c>
      <c r="Y19" s="72">
        <v>-7.6242198940000003</v>
      </c>
      <c r="Z19">
        <v>-2.6803722379999999</v>
      </c>
      <c r="AA19">
        <v>-6.6967010000000002E-3</v>
      </c>
      <c r="AB19" s="41">
        <v>-11.490787510000001</v>
      </c>
      <c r="AC19">
        <v>-9.2172279360000005</v>
      </c>
      <c r="AD19">
        <v>-0.91496086099999996</v>
      </c>
      <c r="AE19" s="45">
        <v>0</v>
      </c>
      <c r="AF19" s="113">
        <v>0</v>
      </c>
      <c r="AG19" s="113">
        <v>0</v>
      </c>
      <c r="AH19" s="113">
        <v>0</v>
      </c>
      <c r="AI19" s="113">
        <v>10</v>
      </c>
      <c r="AJ19" s="113">
        <v>15</v>
      </c>
      <c r="AK19" s="113">
        <v>18</v>
      </c>
      <c r="AL19" s="113">
        <v>20</v>
      </c>
      <c r="AM19" s="113">
        <v>22</v>
      </c>
      <c r="AN19" s="113">
        <v>23</v>
      </c>
      <c r="AO19" s="113">
        <v>24</v>
      </c>
      <c r="AP19" s="113">
        <v>27</v>
      </c>
      <c r="AQ19" s="113">
        <v>29</v>
      </c>
      <c r="AR19" s="113">
        <v>31</v>
      </c>
      <c r="AS19" s="113">
        <v>33</v>
      </c>
      <c r="AT19" s="52">
        <v>33</v>
      </c>
      <c r="AU19" s="134">
        <v>10</v>
      </c>
      <c r="AV19" s="125">
        <v>33</v>
      </c>
      <c r="AW19" s="72">
        <v>14.5</v>
      </c>
      <c r="AX19">
        <v>15</v>
      </c>
      <c r="AY19" s="48">
        <f t="shared" si="1"/>
        <v>3.4482758620689655E-2</v>
      </c>
      <c r="AZ19">
        <v>15</v>
      </c>
      <c r="BA19" s="72">
        <v>10</v>
      </c>
      <c r="BB19" s="141">
        <v>0.54281198978424094</v>
      </c>
      <c r="BC19" s="142">
        <v>393.6767578125</v>
      </c>
      <c r="BD19" s="142">
        <v>-94.6044921875</v>
      </c>
      <c r="BE19" s="142">
        <v>122.41082763671869</v>
      </c>
      <c r="BF19" s="146">
        <v>-47.088623046875</v>
      </c>
      <c r="BG19" s="146" t="s">
        <v>70</v>
      </c>
      <c r="BH19" s="147" t="s">
        <v>80</v>
      </c>
    </row>
    <row r="20" spans="1:60">
      <c r="A20" s="2">
        <v>46000</v>
      </c>
      <c r="B20" t="s">
        <v>44</v>
      </c>
      <c r="C20">
        <v>63543</v>
      </c>
      <c r="D20">
        <v>1539</v>
      </c>
      <c r="E20" t="s">
        <v>84</v>
      </c>
      <c r="F20" t="s">
        <v>65</v>
      </c>
      <c r="G20" s="77" t="s">
        <v>57</v>
      </c>
      <c r="H20" t="s">
        <v>54</v>
      </c>
      <c r="I20" t="s">
        <v>85</v>
      </c>
      <c r="J20" t="s">
        <v>50</v>
      </c>
      <c r="K20" s="41">
        <v>-63.7976264953613</v>
      </c>
      <c r="L20">
        <v>-58</v>
      </c>
      <c r="M20" s="41">
        <v>-41.50390625</v>
      </c>
      <c r="N20">
        <v>133.056640625</v>
      </c>
      <c r="O20" s="22">
        <v>6</v>
      </c>
      <c r="P20" s="41">
        <v>0.83172399905837069</v>
      </c>
      <c r="Q20">
        <v>0.80383052663650811</v>
      </c>
      <c r="R20" s="41">
        <v>0.13696</v>
      </c>
      <c r="S20">
        <v>136.96</v>
      </c>
      <c r="T20" s="41">
        <v>5</v>
      </c>
      <c r="U20" s="72">
        <v>-51.125370025634702</v>
      </c>
      <c r="V20" s="72">
        <v>454.52410888671801</v>
      </c>
      <c r="W20" s="72">
        <f t="shared" si="3"/>
        <v>505.64947891235272</v>
      </c>
      <c r="X20" s="39">
        <v>1</v>
      </c>
      <c r="Y20" s="72">
        <v>-4.7755393980000003</v>
      </c>
      <c r="Z20">
        <v>-0.99135971099999998</v>
      </c>
      <c r="AA20">
        <v>-0.44451713599999998</v>
      </c>
      <c r="AB20" s="41">
        <v>-7.1384353640000002</v>
      </c>
      <c r="AC20">
        <v>-3.3847732540000002</v>
      </c>
      <c r="AD20">
        <v>-0.95356368999999996</v>
      </c>
      <c r="AE20" s="45">
        <v>0</v>
      </c>
      <c r="AF20" s="113">
        <v>0</v>
      </c>
      <c r="AG20" s="113">
        <v>0</v>
      </c>
      <c r="AH20" s="113">
        <v>6</v>
      </c>
      <c r="AI20" s="113">
        <v>18</v>
      </c>
      <c r="AJ20" s="113">
        <v>27</v>
      </c>
      <c r="AK20" s="113">
        <v>31</v>
      </c>
      <c r="AL20" s="113">
        <v>36</v>
      </c>
      <c r="AM20" s="113">
        <v>40</v>
      </c>
      <c r="AN20" s="113">
        <v>42</v>
      </c>
      <c r="AO20" s="113">
        <v>44</v>
      </c>
      <c r="AP20" s="113">
        <v>50</v>
      </c>
      <c r="AQ20" s="113">
        <v>52</v>
      </c>
      <c r="AR20" s="113">
        <v>57</v>
      </c>
      <c r="AS20" s="113">
        <v>34</v>
      </c>
      <c r="AT20" s="52">
        <v>7</v>
      </c>
      <c r="AU20" s="134">
        <v>6</v>
      </c>
      <c r="AV20" s="125">
        <v>57</v>
      </c>
      <c r="AW20" s="72">
        <v>18</v>
      </c>
      <c r="AX20">
        <v>18</v>
      </c>
      <c r="AY20" s="48">
        <f t="shared" si="1"/>
        <v>0</v>
      </c>
      <c r="AZ20">
        <v>-50</v>
      </c>
      <c r="BA20" s="72">
        <v>-50</v>
      </c>
      <c r="BB20" s="141">
        <v>0.46428307890892001</v>
      </c>
      <c r="BC20" s="142">
        <v>623.779296875</v>
      </c>
      <c r="BD20" s="142">
        <v>-114.74609375</v>
      </c>
      <c r="BE20" s="142">
        <v>123.6085510253906</v>
      </c>
      <c r="BF20" s="41">
        <v>-43.548583984375</v>
      </c>
      <c r="BG20" s="41"/>
      <c r="BH20" s="39"/>
    </row>
    <row r="21" spans="1:60">
      <c r="A21" s="2">
        <v>46001</v>
      </c>
      <c r="B21" t="s">
        <v>69</v>
      </c>
      <c r="C21">
        <v>63558</v>
      </c>
      <c r="D21">
        <v>1540</v>
      </c>
      <c r="E21" t="s">
        <v>86</v>
      </c>
      <c r="F21" t="s">
        <v>46</v>
      </c>
      <c r="G21" s="77" t="s">
        <v>47</v>
      </c>
      <c r="H21" t="s">
        <v>54</v>
      </c>
      <c r="J21" t="s">
        <v>50</v>
      </c>
      <c r="K21" s="41">
        <v>-57.144802093505803</v>
      </c>
      <c r="L21">
        <v>-45</v>
      </c>
      <c r="M21" s="41">
        <v>-21.30126953125</v>
      </c>
      <c r="N21">
        <v>209.3505859375</v>
      </c>
      <c r="O21" s="22">
        <v>1</v>
      </c>
      <c r="P21" s="41">
        <v>0.85124526171129489</v>
      </c>
      <c r="Q21">
        <v>0.89595994269644397</v>
      </c>
      <c r="R21" s="41">
        <v>0.13624</v>
      </c>
      <c r="S21">
        <v>136.24</v>
      </c>
      <c r="T21" s="41">
        <v>5</v>
      </c>
      <c r="U21" s="72">
        <v>-136.81881713867099</v>
      </c>
      <c r="V21" s="72">
        <v>475.010009765625</v>
      </c>
      <c r="W21" s="72">
        <f t="shared" si="3"/>
        <v>611.82882690429597</v>
      </c>
      <c r="X21" s="39">
        <v>1</v>
      </c>
      <c r="Y21" s="72">
        <v>-1.496124268</v>
      </c>
      <c r="Z21">
        <v>-0.97732543900000002</v>
      </c>
      <c r="AA21">
        <v>-0.63455390899999997</v>
      </c>
      <c r="AB21" s="41">
        <v>-2.3032684329999999</v>
      </c>
      <c r="AC21">
        <v>-1.1741180419999999</v>
      </c>
      <c r="AD21">
        <v>-0.239374161</v>
      </c>
      <c r="AE21" s="45">
        <v>0</v>
      </c>
      <c r="AF21" s="113">
        <v>0</v>
      </c>
      <c r="AG21" s="113">
        <v>0</v>
      </c>
      <c r="AH21" s="113">
        <v>0</v>
      </c>
      <c r="AI21" s="113">
        <v>0</v>
      </c>
      <c r="AJ21" s="113">
        <v>1</v>
      </c>
      <c r="AK21" s="113">
        <v>3</v>
      </c>
      <c r="AL21" s="113">
        <v>2</v>
      </c>
      <c r="AM21" s="113">
        <v>4</v>
      </c>
      <c r="AN21" s="113">
        <v>3</v>
      </c>
      <c r="AO21" s="113">
        <v>3</v>
      </c>
      <c r="AP21" s="113">
        <v>2</v>
      </c>
      <c r="AQ21" s="113">
        <v>1</v>
      </c>
      <c r="AR21" s="113">
        <v>1</v>
      </c>
      <c r="AS21" s="113">
        <v>1</v>
      </c>
      <c r="AT21" s="52">
        <v>1</v>
      </c>
      <c r="AU21" s="134">
        <v>1</v>
      </c>
      <c r="AV21" s="125">
        <v>4</v>
      </c>
      <c r="AW21" s="72">
        <v>18.3</v>
      </c>
      <c r="AX21">
        <v>19.3</v>
      </c>
      <c r="AY21" s="48">
        <f t="shared" si="1"/>
        <v>5.4644808743169397E-2</v>
      </c>
      <c r="AZ21">
        <v>-75</v>
      </c>
      <c r="BA21" s="72">
        <v>-150</v>
      </c>
      <c r="BB21" s="141">
        <v>0.953862965106964</v>
      </c>
      <c r="BC21" s="142">
        <v>418.701171875</v>
      </c>
      <c r="BD21" s="142">
        <v>-65.3076171875</v>
      </c>
      <c r="BE21" s="142">
        <v>128.77133178710932</v>
      </c>
      <c r="BF21" s="41">
        <v>-36.285400390625</v>
      </c>
      <c r="BG21" s="41"/>
      <c r="BH21" s="39"/>
    </row>
    <row r="22" spans="1:60">
      <c r="A22" s="2">
        <v>46001</v>
      </c>
      <c r="B22" t="s">
        <v>69</v>
      </c>
      <c r="C22">
        <v>63559</v>
      </c>
      <c r="D22" s="19">
        <v>1541</v>
      </c>
      <c r="E22" t="s">
        <v>87</v>
      </c>
      <c r="F22" t="s">
        <v>46</v>
      </c>
      <c r="G22" s="77" t="s">
        <v>47</v>
      </c>
      <c r="H22" t="s">
        <v>48</v>
      </c>
      <c r="I22" t="s">
        <v>88</v>
      </c>
      <c r="J22" t="s">
        <v>50</v>
      </c>
      <c r="K22" s="41">
        <v>-54.118686676025298</v>
      </c>
      <c r="L22">
        <v>-50</v>
      </c>
      <c r="M22" s="41">
        <v>-41.290283203125</v>
      </c>
      <c r="N22">
        <v>338.7451171875</v>
      </c>
      <c r="O22" s="22">
        <v>11</v>
      </c>
      <c r="P22" s="41">
        <v>0.78589572430856536</v>
      </c>
      <c r="Q22">
        <v>0.81346886411571639</v>
      </c>
      <c r="R22" s="41">
        <v>6.6180000000000003E-2</v>
      </c>
      <c r="S22">
        <v>66.180000000000007</v>
      </c>
      <c r="T22" s="41">
        <v>9</v>
      </c>
      <c r="U22" s="72">
        <v>-736.46319580078102</v>
      </c>
      <c r="V22" s="72">
        <v>-22.6143074035644</v>
      </c>
      <c r="W22" s="72">
        <f t="shared" si="3"/>
        <v>713.84888839721657</v>
      </c>
      <c r="X22" s="39">
        <v>1</v>
      </c>
      <c r="Y22" s="72">
        <v>-1.0723552700000001</v>
      </c>
      <c r="Z22">
        <v>-0.507780075</v>
      </c>
      <c r="AA22">
        <v>-0.44050598099999999</v>
      </c>
      <c r="AB22" s="41">
        <v>-1.739805222</v>
      </c>
      <c r="AC22">
        <v>-0.97686576800000002</v>
      </c>
      <c r="AD22">
        <v>-0.20810508699999999</v>
      </c>
      <c r="AE22" s="45">
        <v>0</v>
      </c>
      <c r="AF22" s="113">
        <v>0</v>
      </c>
      <c r="AG22" s="113">
        <v>0</v>
      </c>
      <c r="AH22" s="113">
        <v>1</v>
      </c>
      <c r="AI22" s="113">
        <v>4</v>
      </c>
      <c r="AJ22" s="113">
        <v>7</v>
      </c>
      <c r="AK22" s="113">
        <v>9</v>
      </c>
      <c r="AL22" s="113">
        <v>11</v>
      </c>
      <c r="AM22" s="113">
        <v>14</v>
      </c>
      <c r="AN22" s="113">
        <v>13</v>
      </c>
      <c r="AO22" s="113">
        <v>13</v>
      </c>
      <c r="AP22" s="113">
        <v>10</v>
      </c>
      <c r="AQ22" s="113">
        <v>12</v>
      </c>
      <c r="AR22" s="113">
        <v>5</v>
      </c>
      <c r="AS22" s="113">
        <v>1</v>
      </c>
      <c r="AT22" s="52">
        <v>1</v>
      </c>
      <c r="AU22" s="134">
        <v>1</v>
      </c>
      <c r="AV22" s="125">
        <v>14</v>
      </c>
      <c r="AW22" s="72">
        <v>17.100000000000001</v>
      </c>
      <c r="AY22" s="48"/>
      <c r="AZ22">
        <v>-65</v>
      </c>
      <c r="BA22" s="72">
        <v>-170</v>
      </c>
      <c r="BB22" s="141">
        <v>1.04851305484771</v>
      </c>
      <c r="BC22" s="142">
        <v>156.25</v>
      </c>
      <c r="BD22" s="142">
        <v>-30.517578125</v>
      </c>
      <c r="BE22" s="142">
        <v>96.693923950195298</v>
      </c>
      <c r="BF22" s="146">
        <v>-45.379638671875</v>
      </c>
      <c r="BG22" s="146" t="s">
        <v>70</v>
      </c>
      <c r="BH22" s="147" t="s">
        <v>89</v>
      </c>
    </row>
    <row r="23" spans="1:60">
      <c r="A23" s="2">
        <v>46001</v>
      </c>
      <c r="B23" t="s">
        <v>90</v>
      </c>
      <c r="C23">
        <v>63559</v>
      </c>
      <c r="D23" s="19">
        <v>1542</v>
      </c>
      <c r="E23" t="s">
        <v>91</v>
      </c>
      <c r="F23" t="s">
        <v>46</v>
      </c>
      <c r="G23" s="77" t="s">
        <v>47</v>
      </c>
      <c r="H23" t="s">
        <v>48</v>
      </c>
      <c r="J23" t="s">
        <v>50</v>
      </c>
      <c r="K23" s="41">
        <v>-32.476371765136697</v>
      </c>
      <c r="L23" s="4"/>
      <c r="M23" s="42"/>
      <c r="N23" s="4"/>
      <c r="O23" s="23" t="s">
        <v>92</v>
      </c>
      <c r="P23" s="41">
        <v>0.94246605758330815</v>
      </c>
      <c r="Q23">
        <v>0.91781984839614883</v>
      </c>
      <c r="R23" s="41">
        <v>3.3410000000000002E-2</v>
      </c>
      <c r="S23">
        <v>33.410000000000004</v>
      </c>
      <c r="T23" s="41">
        <v>6</v>
      </c>
      <c r="U23" s="72">
        <v>-1946.79895019531</v>
      </c>
      <c r="V23" s="72">
        <v>-739.48004150390602</v>
      </c>
      <c r="W23" s="72">
        <f t="shared" si="3"/>
        <v>1207.318908691404</v>
      </c>
      <c r="X23" s="39">
        <v>1</v>
      </c>
      <c r="Y23" s="72">
        <v>-0.523693085</v>
      </c>
      <c r="Z23">
        <v>-0.294811249</v>
      </c>
      <c r="AA23">
        <v>-0.19690513600000001</v>
      </c>
      <c r="AB23" s="41">
        <v>-0.57132530199999998</v>
      </c>
      <c r="AC23">
        <v>-0.54080772399999999</v>
      </c>
      <c r="AD23">
        <v>0.91296386699999998</v>
      </c>
      <c r="AE23" s="47" t="s">
        <v>92</v>
      </c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30"/>
      <c r="AU23" s="135" t="s">
        <v>92</v>
      </c>
      <c r="AV23" s="125" t="s">
        <v>92</v>
      </c>
      <c r="AW23" s="72">
        <v>13</v>
      </c>
      <c r="AY23" s="48"/>
      <c r="AZ23">
        <v>-1600</v>
      </c>
      <c r="BA23" s="72"/>
      <c r="BB23" s="141">
        <v>0.66797918081283603</v>
      </c>
      <c r="BC23" s="142">
        <v>110.4736328125</v>
      </c>
      <c r="BD23" s="142">
        <v>-30.517578125</v>
      </c>
      <c r="BE23" s="142">
        <v>59.003330230712798</v>
      </c>
      <c r="BF23" s="146">
        <v>-30.09033203125</v>
      </c>
      <c r="BG23" s="146" t="str">
        <f t="shared" ref="BG23:BG33" si="4">IF(TRIM(AX23)="","Yes","No")</f>
        <v>Yes</v>
      </c>
      <c r="BH23" s="147" t="s">
        <v>89</v>
      </c>
    </row>
    <row r="24" spans="1:60">
      <c r="A24" s="2">
        <v>46002</v>
      </c>
      <c r="B24" t="s">
        <v>69</v>
      </c>
      <c r="C24">
        <v>63560</v>
      </c>
      <c r="D24">
        <v>1543</v>
      </c>
      <c r="E24" t="s">
        <v>93</v>
      </c>
      <c r="F24" t="s">
        <v>46</v>
      </c>
      <c r="G24" s="77" t="s">
        <v>57</v>
      </c>
      <c r="H24" t="s">
        <v>54</v>
      </c>
      <c r="I24" t="s">
        <v>94</v>
      </c>
      <c r="J24" t="s">
        <v>50</v>
      </c>
      <c r="K24" s="41">
        <v>-47.746295928955</v>
      </c>
      <c r="L24">
        <v>-64</v>
      </c>
      <c r="M24" s="41">
        <v>-33.782958984375</v>
      </c>
      <c r="N24">
        <v>191.0400390625</v>
      </c>
      <c r="O24" s="22">
        <v>3</v>
      </c>
      <c r="P24" s="41">
        <v>0.89332475138247058</v>
      </c>
      <c r="Q24">
        <v>0.91844078002584073</v>
      </c>
      <c r="R24" s="41">
        <v>0.14402000000000001</v>
      </c>
      <c r="S24">
        <v>144.02000000000001</v>
      </c>
      <c r="T24" s="41">
        <v>9</v>
      </c>
      <c r="U24" s="72">
        <v>-37.8485107421875</v>
      </c>
      <c r="V24" s="72">
        <v>828.403564453125</v>
      </c>
      <c r="W24" s="72">
        <f t="shared" si="3"/>
        <v>866.2520751953125</v>
      </c>
      <c r="X24" s="39">
        <v>1</v>
      </c>
      <c r="Y24" s="72">
        <v>-0.87671852100000003</v>
      </c>
      <c r="Z24">
        <v>-0.37317848199999998</v>
      </c>
      <c r="AA24">
        <v>-0.16537666300000001</v>
      </c>
      <c r="AB24" s="41">
        <v>-1.9469394680000001</v>
      </c>
      <c r="AC24">
        <v>-1.5807285310000001</v>
      </c>
      <c r="AD24">
        <v>-0.53083992000000002</v>
      </c>
      <c r="AE24" s="45">
        <v>0</v>
      </c>
      <c r="AF24" s="113">
        <v>0</v>
      </c>
      <c r="AG24" s="113">
        <v>0</v>
      </c>
      <c r="AH24" s="113">
        <v>0</v>
      </c>
      <c r="AI24" s="113">
        <v>3</v>
      </c>
      <c r="AJ24" s="113">
        <v>6</v>
      </c>
      <c r="AK24" s="113">
        <v>7</v>
      </c>
      <c r="AL24" s="113">
        <v>10</v>
      </c>
      <c r="AM24" s="113">
        <v>7</v>
      </c>
      <c r="AN24" s="113">
        <v>8</v>
      </c>
      <c r="AO24" s="113">
        <v>7</v>
      </c>
      <c r="AP24" s="113">
        <v>9</v>
      </c>
      <c r="AQ24" s="113">
        <v>1</v>
      </c>
      <c r="AR24" s="113">
        <v>1</v>
      </c>
      <c r="AS24" s="113">
        <v>1</v>
      </c>
      <c r="AT24" s="52">
        <v>1</v>
      </c>
      <c r="AU24" s="134">
        <v>3</v>
      </c>
      <c r="AV24" s="125">
        <v>10</v>
      </c>
      <c r="AW24" s="72">
        <v>16.7</v>
      </c>
      <c r="AX24">
        <v>20.8</v>
      </c>
      <c r="AY24" s="48">
        <f t="shared" si="1"/>
        <v>0.24550898203592825</v>
      </c>
      <c r="AZ24">
        <v>-85</v>
      </c>
      <c r="BA24" s="72">
        <v>-30</v>
      </c>
      <c r="BB24" s="141">
        <v>0.81717985868454002</v>
      </c>
      <c r="BC24" s="142">
        <v>328.369140625</v>
      </c>
      <c r="BD24" s="142">
        <v>-70.1904296875</v>
      </c>
      <c r="BE24" s="142">
        <v>128.4152908325195</v>
      </c>
      <c r="BF24" s="41">
        <v>-43.9453125</v>
      </c>
      <c r="BG24" s="41"/>
      <c r="BH24" s="39"/>
    </row>
    <row r="25" spans="1:60">
      <c r="A25" s="2">
        <v>46002</v>
      </c>
      <c r="B25" t="s">
        <v>69</v>
      </c>
      <c r="C25">
        <v>63561</v>
      </c>
      <c r="D25" s="19">
        <v>1544</v>
      </c>
      <c r="E25" t="s">
        <v>95</v>
      </c>
      <c r="F25" t="s">
        <v>46</v>
      </c>
      <c r="G25" s="77" t="s">
        <v>57</v>
      </c>
      <c r="H25" t="s">
        <v>48</v>
      </c>
      <c r="I25" t="s">
        <v>96</v>
      </c>
      <c r="J25" t="s">
        <v>50</v>
      </c>
      <c r="K25" s="41">
        <v>-44.802642822265597</v>
      </c>
      <c r="L25">
        <v>-64</v>
      </c>
      <c r="M25" s="41">
        <v>-34.36279296875</v>
      </c>
      <c r="N25">
        <v>155.029296875</v>
      </c>
      <c r="O25" s="22">
        <v>2</v>
      </c>
      <c r="P25" s="41">
        <v>0.86686166158166289</v>
      </c>
      <c r="Q25">
        <v>0.96864244595460613</v>
      </c>
      <c r="R25" s="41">
        <v>0.26940999999999998</v>
      </c>
      <c r="S25">
        <v>269.40999999999997</v>
      </c>
      <c r="T25" s="41">
        <v>7</v>
      </c>
      <c r="U25" s="72">
        <v>-18.338615417480401</v>
      </c>
      <c r="V25" s="72">
        <v>644.28082275390602</v>
      </c>
      <c r="W25" s="72">
        <f t="shared" si="3"/>
        <v>662.61943817138638</v>
      </c>
      <c r="X25" s="39">
        <v>1</v>
      </c>
      <c r="Y25" s="72">
        <v>-0.19808578499999999</v>
      </c>
      <c r="Z25">
        <v>-0.35067367599999999</v>
      </c>
      <c r="AA25">
        <v>-0.109348297</v>
      </c>
      <c r="AB25" s="41">
        <v>-2.7099514010000001</v>
      </c>
      <c r="AC25">
        <v>0.49439430200000001</v>
      </c>
      <c r="AD25">
        <v>-1.207130432</v>
      </c>
      <c r="AE25" s="45">
        <v>0</v>
      </c>
      <c r="AF25" s="113">
        <v>0</v>
      </c>
      <c r="AG25" s="113">
        <v>0</v>
      </c>
      <c r="AH25" s="113">
        <v>1</v>
      </c>
      <c r="AI25" s="113">
        <v>2</v>
      </c>
      <c r="AJ25" s="113">
        <v>2</v>
      </c>
      <c r="AK25" s="113">
        <v>4</v>
      </c>
      <c r="AL25" s="113">
        <v>3</v>
      </c>
      <c r="AM25" s="113">
        <v>2</v>
      </c>
      <c r="AN25" s="113">
        <v>3</v>
      </c>
      <c r="AO25" s="113">
        <v>3</v>
      </c>
      <c r="AP25" s="113">
        <v>2</v>
      </c>
      <c r="AQ25" s="113">
        <v>1</v>
      </c>
      <c r="AR25" s="113">
        <v>1</v>
      </c>
      <c r="AS25" s="113">
        <v>1</v>
      </c>
      <c r="AT25" s="52">
        <v>1</v>
      </c>
      <c r="AU25" s="134">
        <v>1</v>
      </c>
      <c r="AV25" s="125">
        <v>4</v>
      </c>
      <c r="AW25" s="72">
        <v>12.3</v>
      </c>
      <c r="AX25">
        <v>15</v>
      </c>
      <c r="AY25" s="48">
        <f t="shared" si="1"/>
        <v>0.21951219512195114</v>
      </c>
      <c r="AZ25">
        <v>-55</v>
      </c>
      <c r="BA25" s="72">
        <v>-15</v>
      </c>
      <c r="BB25" s="141">
        <v>0.67116570472717296</v>
      </c>
      <c r="BC25" s="142">
        <v>303.3447265625</v>
      </c>
      <c r="BD25" s="142">
        <v>-76.2939453125</v>
      </c>
      <c r="BE25" s="142">
        <v>116.625129699707</v>
      </c>
      <c r="BF25" s="146">
        <v>-43.64013671875</v>
      </c>
      <c r="BG25" s="146" t="str">
        <f t="shared" si="4"/>
        <v>No</v>
      </c>
      <c r="BH25" s="147"/>
    </row>
    <row r="26" spans="1:60">
      <c r="A26" s="2">
        <v>46002</v>
      </c>
      <c r="B26" t="s">
        <v>44</v>
      </c>
      <c r="C26">
        <v>63561</v>
      </c>
      <c r="D26">
        <v>1545</v>
      </c>
      <c r="E26" t="s">
        <v>97</v>
      </c>
      <c r="F26" t="s">
        <v>46</v>
      </c>
      <c r="G26" s="77" t="s">
        <v>57</v>
      </c>
      <c r="H26" t="s">
        <v>48</v>
      </c>
      <c r="J26" t="s">
        <v>50</v>
      </c>
      <c r="K26" s="41">
        <v>-74.885505676269503</v>
      </c>
      <c r="L26">
        <v>-75</v>
      </c>
      <c r="M26" s="41">
        <v>-53.466796875</v>
      </c>
      <c r="N26">
        <v>43.3349609375</v>
      </c>
      <c r="O26" s="22">
        <v>3</v>
      </c>
      <c r="P26" s="41">
        <v>0.83981793808677641</v>
      </c>
      <c r="Q26">
        <v>0.86697417938095434</v>
      </c>
      <c r="R26" s="41">
        <v>0.24323</v>
      </c>
      <c r="S26">
        <v>243.23</v>
      </c>
      <c r="T26" s="41">
        <v>5</v>
      </c>
      <c r="U26" s="72">
        <v>38.453521728515597</v>
      </c>
      <c r="V26" s="72">
        <v>190.35144042968699</v>
      </c>
      <c r="W26" s="72">
        <f t="shared" si="3"/>
        <v>151.89791870117139</v>
      </c>
      <c r="X26" s="39">
        <v>1</v>
      </c>
      <c r="Y26" s="72">
        <v>-8.8753166199999995</v>
      </c>
      <c r="Z26">
        <v>-1.886791229</v>
      </c>
      <c r="AA26">
        <v>-1.3805484770000001</v>
      </c>
      <c r="AB26" s="41">
        <v>-11.96302032</v>
      </c>
      <c r="AC26">
        <v>-3.540168762</v>
      </c>
      <c r="AD26">
        <v>-1.722583771</v>
      </c>
      <c r="AE26" s="45">
        <v>0</v>
      </c>
      <c r="AF26" s="113">
        <v>3</v>
      </c>
      <c r="AG26" s="113">
        <v>8</v>
      </c>
      <c r="AH26" s="113">
        <v>14</v>
      </c>
      <c r="AI26" s="113">
        <v>14</v>
      </c>
      <c r="AJ26" s="113">
        <v>12</v>
      </c>
      <c r="AK26" s="113">
        <v>10</v>
      </c>
      <c r="AL26" s="113">
        <v>8</v>
      </c>
      <c r="AM26" s="113">
        <v>5</v>
      </c>
      <c r="AN26" s="113">
        <v>1</v>
      </c>
      <c r="AO26" s="113">
        <v>1</v>
      </c>
      <c r="AP26" s="113">
        <v>1</v>
      </c>
      <c r="AQ26" s="113">
        <v>1</v>
      </c>
      <c r="AR26" s="113">
        <v>1</v>
      </c>
      <c r="AS26" s="113">
        <v>1</v>
      </c>
      <c r="AT26" s="52">
        <v>1</v>
      </c>
      <c r="AU26" s="134">
        <v>3</v>
      </c>
      <c r="AV26" s="125">
        <v>14</v>
      </c>
      <c r="AW26" s="72">
        <v>30.5</v>
      </c>
      <c r="AX26">
        <v>40</v>
      </c>
      <c r="AY26" s="48">
        <f t="shared" si="1"/>
        <v>0.31147540983606559</v>
      </c>
      <c r="AZ26">
        <v>25</v>
      </c>
      <c r="BA26" s="72">
        <v>50</v>
      </c>
      <c r="BB26" s="141">
        <v>0.45493358373642001</v>
      </c>
      <c r="BC26" s="142">
        <v>404.052734375</v>
      </c>
      <c r="BD26" s="142">
        <v>-102.5390625</v>
      </c>
      <c r="BE26" s="142">
        <v>103.8957977294921</v>
      </c>
      <c r="BF26" s="41">
        <v>-57.830810546875</v>
      </c>
      <c r="BG26" s="41"/>
      <c r="BH26" s="39"/>
    </row>
    <row r="27" spans="1:60">
      <c r="A27" s="2">
        <v>46002</v>
      </c>
      <c r="B27" t="s">
        <v>90</v>
      </c>
      <c r="C27">
        <v>63560</v>
      </c>
      <c r="D27" s="19">
        <v>1546</v>
      </c>
      <c r="F27" t="s">
        <v>46</v>
      </c>
      <c r="G27" s="77" t="s">
        <v>57</v>
      </c>
      <c r="H27" t="s">
        <v>48</v>
      </c>
      <c r="J27" t="s">
        <v>50</v>
      </c>
      <c r="K27" s="41">
        <v>-31.250228881835898</v>
      </c>
      <c r="L27" s="4"/>
      <c r="M27" s="42"/>
      <c r="N27" s="4"/>
      <c r="O27" s="23" t="s">
        <v>59</v>
      </c>
      <c r="P27" s="41">
        <v>0.8994595901294411</v>
      </c>
      <c r="Q27">
        <v>0.96171533987949243</v>
      </c>
      <c r="R27" s="41">
        <v>0.14613999999999999</v>
      </c>
      <c r="S27">
        <v>146.13999999999999</v>
      </c>
      <c r="T27" s="41" t="s">
        <v>98</v>
      </c>
      <c r="U27" s="72"/>
      <c r="V27" s="72"/>
      <c r="W27" s="72">
        <f t="shared" si="3"/>
        <v>0</v>
      </c>
      <c r="X27" s="39"/>
      <c r="Y27" s="72" t="s">
        <v>59</v>
      </c>
      <c r="AB27" s="41"/>
      <c r="AE27" s="47" t="s">
        <v>59</v>
      </c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30"/>
      <c r="AU27" s="135" t="s">
        <v>59</v>
      </c>
      <c r="AV27" s="125" t="s">
        <v>59</v>
      </c>
      <c r="AW27" s="72">
        <v>26</v>
      </c>
      <c r="AY27" s="48"/>
      <c r="AZ27">
        <v>-325</v>
      </c>
      <c r="BA27" s="72"/>
      <c r="BB27" s="141">
        <v>0.47829487919807401</v>
      </c>
      <c r="BC27" s="142">
        <v>178.22265625</v>
      </c>
      <c r="BD27" s="142">
        <v>-54.3212890625</v>
      </c>
      <c r="BE27" s="142">
        <v>84.528457641601506</v>
      </c>
      <c r="BF27" s="146">
        <v>-44.952392578125</v>
      </c>
      <c r="BG27" s="146" t="str">
        <f t="shared" si="4"/>
        <v>Yes</v>
      </c>
      <c r="BH27" s="147" t="s">
        <v>75</v>
      </c>
    </row>
    <row r="28" spans="1:60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G28" s="77" t="s">
        <v>47</v>
      </c>
      <c r="H28" t="s">
        <v>54</v>
      </c>
      <c r="I28" t="s">
        <v>100</v>
      </c>
      <c r="J28" t="s">
        <v>50</v>
      </c>
      <c r="K28" s="41">
        <v>-54.801189422607401</v>
      </c>
      <c r="L28">
        <v>-51</v>
      </c>
      <c r="M28" s="41">
        <v>-34.7900390625</v>
      </c>
      <c r="N28">
        <v>207.51953125</v>
      </c>
      <c r="O28" s="22">
        <v>11</v>
      </c>
      <c r="P28" s="41">
        <v>0.84208810616014174</v>
      </c>
      <c r="Q28">
        <v>0.81405785723012136</v>
      </c>
      <c r="R28" s="41">
        <v>0.1047</v>
      </c>
      <c r="S28">
        <v>104.7</v>
      </c>
      <c r="T28" s="41">
        <v>4</v>
      </c>
      <c r="U28" s="72">
        <v>-115.370635986328</v>
      </c>
      <c r="V28" s="72">
        <v>567.486083984375</v>
      </c>
      <c r="W28" s="72">
        <f t="shared" si="3"/>
        <v>682.85671997070301</v>
      </c>
      <c r="X28" s="39">
        <v>1</v>
      </c>
      <c r="Y28" s="72">
        <v>-2.3301944730000002</v>
      </c>
      <c r="Z28">
        <v>-0.63646888700000004</v>
      </c>
      <c r="AA28">
        <v>-0.13182449299999999</v>
      </c>
      <c r="AB28" s="41">
        <v>-2.9493999479999999</v>
      </c>
      <c r="AC28">
        <v>-1.2556743619999999</v>
      </c>
      <c r="AD28">
        <v>-0.45042228699999998</v>
      </c>
      <c r="AE28" s="45">
        <v>0</v>
      </c>
      <c r="AF28" s="113">
        <v>0</v>
      </c>
      <c r="AG28" s="113">
        <v>0</v>
      </c>
      <c r="AH28" s="113">
        <v>0</v>
      </c>
      <c r="AI28" s="113">
        <v>4</v>
      </c>
      <c r="AJ28" s="113">
        <v>11</v>
      </c>
      <c r="AK28" s="113">
        <v>17</v>
      </c>
      <c r="AL28" s="113">
        <v>13</v>
      </c>
      <c r="AM28" s="113">
        <v>11</v>
      </c>
      <c r="AN28" s="113">
        <v>12</v>
      </c>
      <c r="AO28" s="113">
        <v>11</v>
      </c>
      <c r="AP28" s="113">
        <v>11</v>
      </c>
      <c r="AQ28" s="113">
        <v>9</v>
      </c>
      <c r="AR28" s="113">
        <v>10</v>
      </c>
      <c r="AS28" s="113">
        <v>8</v>
      </c>
      <c r="AT28" s="52">
        <v>2</v>
      </c>
      <c r="AU28" s="134">
        <v>4</v>
      </c>
      <c r="AV28" s="125">
        <v>17</v>
      </c>
      <c r="AW28" s="72">
        <v>19.8</v>
      </c>
      <c r="AX28">
        <v>22</v>
      </c>
      <c r="AY28" s="48">
        <f t="shared" si="1"/>
        <v>0.11111111111111108</v>
      </c>
      <c r="AZ28">
        <v>-100</v>
      </c>
      <c r="BA28" s="72">
        <v>-115</v>
      </c>
      <c r="BB28" s="141">
        <v>0.483803421258926</v>
      </c>
      <c r="BC28" s="142">
        <v>714.111328125</v>
      </c>
      <c r="BD28" s="142">
        <v>-130.0048828125</v>
      </c>
      <c r="BE28" s="142">
        <v>134.3152313232421</v>
      </c>
      <c r="BF28" s="41">
        <v>-37.59765625</v>
      </c>
      <c r="BG28" s="41"/>
      <c r="BH28" s="39"/>
    </row>
    <row r="29" spans="1:60">
      <c r="A29" s="2">
        <v>46003</v>
      </c>
      <c r="B29" t="s">
        <v>101</v>
      </c>
      <c r="C29">
        <v>63544</v>
      </c>
      <c r="D29" s="19">
        <v>1548</v>
      </c>
      <c r="E29" t="s">
        <v>102</v>
      </c>
      <c r="F29" t="s">
        <v>65</v>
      </c>
      <c r="G29" s="77" t="s">
        <v>47</v>
      </c>
      <c r="H29" t="s">
        <v>54</v>
      </c>
      <c r="I29" t="s">
        <v>103</v>
      </c>
      <c r="J29" t="s">
        <v>50</v>
      </c>
      <c r="K29" s="41">
        <v>-18.1497592926025</v>
      </c>
      <c r="L29">
        <v>-65</v>
      </c>
      <c r="M29" s="41">
        <v>-42.96875</v>
      </c>
      <c r="N29">
        <v>48.828125</v>
      </c>
      <c r="O29" s="22">
        <v>12</v>
      </c>
      <c r="P29" s="41">
        <v>0.83159009402373507</v>
      </c>
      <c r="Q29">
        <v>0.86592638954108914</v>
      </c>
      <c r="R29" s="41">
        <v>0.32184000000000001</v>
      </c>
      <c r="S29">
        <v>321.84000000000003</v>
      </c>
      <c r="T29" s="41">
        <v>3</v>
      </c>
      <c r="U29" s="72">
        <v>-8.5534648895263601</v>
      </c>
      <c r="V29" s="72">
        <v>195.21859741210901</v>
      </c>
      <c r="W29" s="72">
        <f t="shared" si="3"/>
        <v>203.77206230163537</v>
      </c>
      <c r="X29" s="39">
        <v>1</v>
      </c>
      <c r="Y29" s="72">
        <v>-4.241855621</v>
      </c>
      <c r="Z29">
        <v>-0.488193512</v>
      </c>
      <c r="AA29">
        <v>-0.19854354900000001</v>
      </c>
      <c r="AB29" s="41">
        <v>-6.7077617649999999</v>
      </c>
      <c r="AC29">
        <v>-5.1513652800000003</v>
      </c>
      <c r="AD29">
        <v>-2.9095420839999999</v>
      </c>
      <c r="AE29" s="45">
        <v>0</v>
      </c>
      <c r="AF29" s="113">
        <v>12</v>
      </c>
      <c r="AG29" s="113">
        <v>26</v>
      </c>
      <c r="AH29" s="113">
        <v>33</v>
      </c>
      <c r="AI29" s="113">
        <v>38</v>
      </c>
      <c r="AJ29" s="113">
        <v>42</v>
      </c>
      <c r="AK29" s="113">
        <v>43</v>
      </c>
      <c r="AL29" s="113">
        <v>47</v>
      </c>
      <c r="AM29" s="113">
        <v>35</v>
      </c>
      <c r="AN29" s="113">
        <v>1</v>
      </c>
      <c r="AO29" s="113">
        <v>1</v>
      </c>
      <c r="AP29" s="113">
        <v>1</v>
      </c>
      <c r="AQ29" s="113">
        <v>1</v>
      </c>
      <c r="AR29" s="113">
        <v>1</v>
      </c>
      <c r="AS29" s="113">
        <v>1</v>
      </c>
      <c r="AT29" s="52">
        <v>1</v>
      </c>
      <c r="AU29" s="134">
        <v>12</v>
      </c>
      <c r="AV29" s="125">
        <v>47</v>
      </c>
      <c r="AW29" s="72">
        <v>25.2</v>
      </c>
      <c r="AX29">
        <v>25.2</v>
      </c>
      <c r="AY29" s="48">
        <f t="shared" si="1"/>
        <v>0</v>
      </c>
      <c r="AZ29">
        <v>-10</v>
      </c>
      <c r="BA29" s="72">
        <v>-5</v>
      </c>
      <c r="BB29" s="141">
        <v>0.74478542804717995</v>
      </c>
      <c r="BC29" s="142">
        <v>247.1923828125</v>
      </c>
      <c r="BD29" s="142">
        <v>-77.5146484375</v>
      </c>
      <c r="BE29" s="142">
        <v>106.5222473144531</v>
      </c>
      <c r="BF29" s="146">
        <v>-38.177490234375</v>
      </c>
      <c r="BG29" s="146" t="str">
        <f t="shared" si="4"/>
        <v>No</v>
      </c>
      <c r="BH29" s="147" t="s">
        <v>75</v>
      </c>
    </row>
    <row r="30" spans="1:60">
      <c r="A30" s="2">
        <v>46003</v>
      </c>
      <c r="B30" t="s">
        <v>90</v>
      </c>
      <c r="C30">
        <v>63544</v>
      </c>
      <c r="D30">
        <v>1549</v>
      </c>
      <c r="E30" t="s">
        <v>104</v>
      </c>
      <c r="F30" t="s">
        <v>65</v>
      </c>
      <c r="G30" s="77" t="s">
        <v>47</v>
      </c>
      <c r="H30" t="s">
        <v>54</v>
      </c>
      <c r="J30" t="s">
        <v>80</v>
      </c>
      <c r="K30" s="41">
        <v>-61.051807403564403</v>
      </c>
      <c r="L30">
        <v>-49</v>
      </c>
      <c r="M30" s="41">
        <v>-35.369873046875</v>
      </c>
      <c r="N30">
        <v>119.0185546875</v>
      </c>
      <c r="O30" s="22">
        <v>2</v>
      </c>
      <c r="P30" s="41">
        <v>0.85559334508832219</v>
      </c>
      <c r="Q30">
        <v>0.84205345853443692</v>
      </c>
      <c r="R30" s="41">
        <v>0.13566</v>
      </c>
      <c r="S30">
        <v>135.66</v>
      </c>
      <c r="T30" s="41">
        <v>7</v>
      </c>
      <c r="U30" s="72">
        <v>-64.276535034179602</v>
      </c>
      <c r="V30" s="72">
        <v>810.51556396484295</v>
      </c>
      <c r="W30" s="72">
        <f t="shared" si="3"/>
        <v>874.79209899902253</v>
      </c>
      <c r="X30" s="39">
        <v>1</v>
      </c>
      <c r="Y30" s="72">
        <v>-4.0821323390000002</v>
      </c>
      <c r="Z30">
        <v>-2.8461704249999999</v>
      </c>
      <c r="AA30">
        <v>-0.54232215900000003</v>
      </c>
      <c r="AB30" s="41">
        <v>-6.4010982509999996</v>
      </c>
      <c r="AC30">
        <v>-6.0501461030000003</v>
      </c>
      <c r="AD30">
        <v>-1.9059963230000001</v>
      </c>
      <c r="AE30" s="45">
        <v>0</v>
      </c>
      <c r="AF30" s="113">
        <v>0</v>
      </c>
      <c r="AG30" s="113">
        <v>1</v>
      </c>
      <c r="AH30" s="113">
        <v>2</v>
      </c>
      <c r="AI30" s="113">
        <v>2</v>
      </c>
      <c r="AJ30" s="113">
        <v>3</v>
      </c>
      <c r="AK30" s="113">
        <v>6</v>
      </c>
      <c r="AL30" s="113">
        <v>5</v>
      </c>
      <c r="AM30" s="113">
        <v>5</v>
      </c>
      <c r="AN30" s="113">
        <v>6</v>
      </c>
      <c r="AO30" s="113">
        <v>7</v>
      </c>
      <c r="AP30" s="113">
        <v>6</v>
      </c>
      <c r="AQ30" s="113">
        <v>6</v>
      </c>
      <c r="AR30" s="113">
        <v>5</v>
      </c>
      <c r="AS30" s="113">
        <v>2</v>
      </c>
      <c r="AT30" s="52">
        <v>2</v>
      </c>
      <c r="AU30" s="134">
        <v>1</v>
      </c>
      <c r="AV30" s="125">
        <v>7</v>
      </c>
      <c r="AW30" s="72">
        <v>32</v>
      </c>
      <c r="AX30">
        <v>36.9</v>
      </c>
      <c r="AY30" s="48">
        <f t="shared" si="1"/>
        <v>0.15312499999999996</v>
      </c>
      <c r="AZ30">
        <v>-60</v>
      </c>
      <c r="BA30" s="72">
        <v>-125</v>
      </c>
      <c r="BB30" s="141">
        <v>0.43750602006912198</v>
      </c>
      <c r="BC30" s="142">
        <v>369.873046875</v>
      </c>
      <c r="BD30" s="142">
        <v>-96.435546875</v>
      </c>
      <c r="BE30" s="142">
        <v>109.1915969848632</v>
      </c>
      <c r="BF30" s="41">
        <v>-36.865234375</v>
      </c>
      <c r="BG30" s="41"/>
      <c r="BH30" s="39"/>
    </row>
    <row r="31" spans="1:60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G31" s="77" t="s">
        <v>47</v>
      </c>
      <c r="H31" t="s">
        <v>48</v>
      </c>
      <c r="I31" t="s">
        <v>106</v>
      </c>
      <c r="J31" t="s">
        <v>50</v>
      </c>
      <c r="K31" s="41">
        <v>-46.307552337646399</v>
      </c>
      <c r="L31">
        <v>-61</v>
      </c>
      <c r="M31" s="41">
        <v>-30.2734375</v>
      </c>
      <c r="N31">
        <v>140.380859375</v>
      </c>
      <c r="O31" s="22">
        <v>3</v>
      </c>
      <c r="P31" s="41">
        <v>0.74197349285521774</v>
      </c>
      <c r="Q31">
        <v>0.68946154109675417</v>
      </c>
      <c r="R31" s="41">
        <v>0.12542</v>
      </c>
      <c r="S31">
        <v>125.42</v>
      </c>
      <c r="T31" s="41">
        <v>2</v>
      </c>
      <c r="U31" s="72">
        <v>-58.061351776122997</v>
      </c>
      <c r="V31" s="72">
        <v>681.44970703125</v>
      </c>
      <c r="W31" s="72">
        <f t="shared" si="3"/>
        <v>739.51105880737305</v>
      </c>
      <c r="X31" s="39">
        <v>1</v>
      </c>
      <c r="Y31" s="72">
        <v>-1.1884078979999999</v>
      </c>
      <c r="Z31">
        <v>-0.30339813199999999</v>
      </c>
      <c r="AA31">
        <v>-0.43901443499999998</v>
      </c>
      <c r="AB31" s="41">
        <v>-4.5531463619999997</v>
      </c>
      <c r="AC31">
        <v>-2.2338104250000002</v>
      </c>
      <c r="AD31">
        <v>-1.5021495819999999</v>
      </c>
      <c r="AE31" s="45">
        <v>0</v>
      </c>
      <c r="AF31" s="113">
        <v>0</v>
      </c>
      <c r="AG31" s="113">
        <v>0</v>
      </c>
      <c r="AH31" s="113">
        <v>3</v>
      </c>
      <c r="AI31" s="113">
        <v>7</v>
      </c>
      <c r="AJ31" s="113">
        <v>7</v>
      </c>
      <c r="AK31" s="113">
        <v>9</v>
      </c>
      <c r="AL31" s="113">
        <v>8</v>
      </c>
      <c r="AM31" s="113">
        <v>6</v>
      </c>
      <c r="AN31" s="113">
        <v>6</v>
      </c>
      <c r="AO31" s="113">
        <v>2</v>
      </c>
      <c r="AP31" s="113">
        <v>1</v>
      </c>
      <c r="AQ31" s="113">
        <v>1</v>
      </c>
      <c r="AR31" s="113">
        <v>1</v>
      </c>
      <c r="AS31" s="113">
        <v>1</v>
      </c>
      <c r="AT31" s="52">
        <v>1</v>
      </c>
      <c r="AU31" s="134">
        <v>3</v>
      </c>
      <c r="AV31" s="125">
        <v>9</v>
      </c>
      <c r="AW31" s="72">
        <v>17.8</v>
      </c>
      <c r="AX31">
        <v>19.3</v>
      </c>
      <c r="AY31" s="48">
        <f t="shared" si="1"/>
        <v>8.4269662921348312E-2</v>
      </c>
      <c r="AZ31">
        <v>-80</v>
      </c>
      <c r="BA31" s="72">
        <v>-50</v>
      </c>
      <c r="BB31" s="141">
        <v>0.84602808952331499</v>
      </c>
      <c r="BC31" s="142">
        <v>254.5166015625</v>
      </c>
      <c r="BD31" s="142">
        <v>-51.26953125</v>
      </c>
      <c r="BE31" s="142">
        <v>114.4546203613281</v>
      </c>
      <c r="BF31" s="41">
        <v>-42.6025390625</v>
      </c>
      <c r="BG31" s="41"/>
      <c r="BH31" s="39"/>
    </row>
    <row r="32" spans="1:60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G32" s="77" t="s">
        <v>47</v>
      </c>
      <c r="H32" t="s">
        <v>108</v>
      </c>
      <c r="I32" t="s">
        <v>109</v>
      </c>
      <c r="J32" t="s">
        <v>50</v>
      </c>
      <c r="K32" s="41">
        <v>-59.285091400146399</v>
      </c>
      <c r="L32">
        <v>-51</v>
      </c>
      <c r="M32" s="41">
        <v>-41.168212890625</v>
      </c>
      <c r="N32">
        <v>105.5908203125</v>
      </c>
      <c r="O32" s="22">
        <v>3</v>
      </c>
      <c r="P32" s="41">
        <v>0.80892512621901635</v>
      </c>
      <c r="Q32">
        <v>0.82166703397737662</v>
      </c>
      <c r="R32" s="41">
        <v>0.19838</v>
      </c>
      <c r="S32">
        <v>198.38</v>
      </c>
      <c r="T32" s="41">
        <v>4</v>
      </c>
      <c r="U32" s="72">
        <v>-60.940727233886697</v>
      </c>
      <c r="V32" s="72">
        <v>419.43673706054602</v>
      </c>
      <c r="W32" s="72">
        <f t="shared" si="3"/>
        <v>480.37746429443274</v>
      </c>
      <c r="X32" s="39">
        <v>1</v>
      </c>
      <c r="Y32" s="72">
        <v>-4.3806781770000001</v>
      </c>
      <c r="Z32">
        <v>-0.90167427099999997</v>
      </c>
      <c r="AA32">
        <v>-0.78892707799999995</v>
      </c>
      <c r="AB32" s="41">
        <v>-8.4093418119999992</v>
      </c>
      <c r="AC32">
        <v>-4.9761142730000003</v>
      </c>
      <c r="AD32">
        <v>-1.263053894</v>
      </c>
      <c r="AE32" s="45">
        <v>0</v>
      </c>
      <c r="AF32" s="113">
        <v>0</v>
      </c>
      <c r="AG32" s="113">
        <v>0</v>
      </c>
      <c r="AH32" s="113">
        <v>3</v>
      </c>
      <c r="AI32" s="113">
        <v>4</v>
      </c>
      <c r="AJ32" s="113">
        <v>5</v>
      </c>
      <c r="AK32" s="113">
        <v>6</v>
      </c>
      <c r="AL32" s="113">
        <v>8</v>
      </c>
      <c r="AM32" s="113">
        <v>7</v>
      </c>
      <c r="AN32" s="113">
        <v>7</v>
      </c>
      <c r="AO32" s="113">
        <v>6</v>
      </c>
      <c r="AP32" s="113">
        <v>6</v>
      </c>
      <c r="AQ32" s="113">
        <v>5</v>
      </c>
      <c r="AR32" s="113">
        <v>4</v>
      </c>
      <c r="AS32" s="113">
        <v>2</v>
      </c>
      <c r="AT32" s="52">
        <v>2</v>
      </c>
      <c r="AU32" s="134">
        <v>3</v>
      </c>
      <c r="AV32" s="125">
        <v>8</v>
      </c>
      <c r="AW32" s="72">
        <v>18</v>
      </c>
      <c r="AX32">
        <v>18</v>
      </c>
      <c r="AY32" s="48">
        <f t="shared" si="1"/>
        <v>0</v>
      </c>
      <c r="AZ32">
        <v>-35</v>
      </c>
      <c r="BA32" s="72">
        <v>-70</v>
      </c>
      <c r="BB32" s="141">
        <v>0.43135955929756198</v>
      </c>
      <c r="BC32" s="142">
        <v>513.916015625</v>
      </c>
      <c r="BD32" s="142">
        <v>-118.408203125</v>
      </c>
      <c r="BE32" s="142">
        <v>117.7503204345703</v>
      </c>
      <c r="BF32" s="41">
        <v>-48.52294921875</v>
      </c>
      <c r="BG32" s="41"/>
      <c r="BH32" s="39"/>
    </row>
    <row r="33" spans="1:60">
      <c r="A33" s="2">
        <v>46003</v>
      </c>
      <c r="B33" t="s">
        <v>90</v>
      </c>
      <c r="C33">
        <v>63545</v>
      </c>
      <c r="D33" s="81">
        <v>1552</v>
      </c>
      <c r="E33" t="s">
        <v>110</v>
      </c>
      <c r="F33" t="s">
        <v>65</v>
      </c>
      <c r="G33" s="77" t="s">
        <v>47</v>
      </c>
      <c r="H33" t="s">
        <v>48</v>
      </c>
      <c r="J33" t="s">
        <v>50</v>
      </c>
      <c r="K33" s="42"/>
      <c r="L33">
        <v>-42</v>
      </c>
      <c r="M33" s="41">
        <v>-34.515380859375</v>
      </c>
      <c r="N33">
        <v>224.609375</v>
      </c>
      <c r="O33" s="22">
        <v>11</v>
      </c>
      <c r="P33" s="41">
        <v>0.846882145806233</v>
      </c>
      <c r="Q33">
        <v>0.89263797981230963</v>
      </c>
      <c r="R33" s="41">
        <v>0.1048</v>
      </c>
      <c r="S33">
        <v>104.80000000000001</v>
      </c>
      <c r="T33" s="41">
        <v>1</v>
      </c>
      <c r="U33" s="72">
        <v>-171.50054931640599</v>
      </c>
      <c r="V33" s="72">
        <v>445.94790649414</v>
      </c>
      <c r="W33" s="72">
        <f t="shared" si="3"/>
        <v>617.44845581054597</v>
      </c>
      <c r="X33" s="39">
        <v>1</v>
      </c>
      <c r="Y33" s="72">
        <v>-3.6752395629999999</v>
      </c>
      <c r="Z33">
        <v>-1.2338333130000001</v>
      </c>
      <c r="AA33">
        <v>1.1944446559999999</v>
      </c>
      <c r="AB33" s="41">
        <v>-9.6721572879999993</v>
      </c>
      <c r="AC33">
        <v>-2.4394912720000002</v>
      </c>
      <c r="AD33">
        <v>-0.99218940700000002</v>
      </c>
      <c r="AE33" s="45">
        <v>0</v>
      </c>
      <c r="AF33" s="113">
        <v>0</v>
      </c>
      <c r="AG33" s="113">
        <v>0</v>
      </c>
      <c r="AH33" s="113">
        <v>0</v>
      </c>
      <c r="AI33" s="113">
        <v>5</v>
      </c>
      <c r="AJ33" s="113">
        <v>11</v>
      </c>
      <c r="AK33" s="113">
        <v>14</v>
      </c>
      <c r="AL33" s="113">
        <v>16</v>
      </c>
      <c r="AM33" s="113">
        <v>18</v>
      </c>
      <c r="AN33" s="113">
        <v>20</v>
      </c>
      <c r="AO33" s="113">
        <v>24</v>
      </c>
      <c r="AP33" s="113">
        <v>26</v>
      </c>
      <c r="AQ33" s="113">
        <v>23</v>
      </c>
      <c r="AR33" s="113">
        <v>8</v>
      </c>
      <c r="AS33" s="113">
        <v>2</v>
      </c>
      <c r="AT33" s="52">
        <v>2</v>
      </c>
      <c r="AU33" s="134">
        <v>5</v>
      </c>
      <c r="AV33" s="125">
        <v>26</v>
      </c>
      <c r="AW33" s="72">
        <v>28.4</v>
      </c>
      <c r="AX33">
        <v>32</v>
      </c>
      <c r="AY33" s="48">
        <f t="shared" si="1"/>
        <v>0.12676056338028174</v>
      </c>
      <c r="AZ33">
        <v>-100</v>
      </c>
      <c r="BA33" s="72">
        <v>-240</v>
      </c>
      <c r="BB33" s="141">
        <v>0.56051903963089</v>
      </c>
      <c r="BC33" s="142">
        <v>343.6279296875</v>
      </c>
      <c r="BD33" s="142">
        <v>-93.994140625</v>
      </c>
      <c r="BE33" s="142">
        <v>105.97906494140619</v>
      </c>
      <c r="BF33" s="146">
        <v>-34.1796875</v>
      </c>
      <c r="BG33" s="146" t="str">
        <f t="shared" si="4"/>
        <v>No</v>
      </c>
      <c r="BH33" s="147" t="s">
        <v>89</v>
      </c>
    </row>
    <row r="34" spans="1:60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G34" s="77" t="s">
        <v>57</v>
      </c>
      <c r="H34" t="s">
        <v>48</v>
      </c>
      <c r="J34" t="s">
        <v>50</v>
      </c>
      <c r="K34" s="41">
        <v>-69.831962585449205</v>
      </c>
      <c r="L34">
        <v>-68</v>
      </c>
      <c r="M34" s="41">
        <v>-33.966064453125</v>
      </c>
      <c r="N34">
        <v>134.8876953125</v>
      </c>
      <c r="O34" s="22">
        <v>11</v>
      </c>
      <c r="P34" s="41">
        <v>0.72582323547952388</v>
      </c>
      <c r="Q34">
        <v>0.74604644293186262</v>
      </c>
      <c r="R34" s="41">
        <v>0.15837000000000001</v>
      </c>
      <c r="S34">
        <v>158.37</v>
      </c>
      <c r="T34" s="41">
        <v>3</v>
      </c>
      <c r="U34" s="72">
        <v>13.3098134994506</v>
      </c>
      <c r="V34" s="72">
        <v>872.31756591796795</v>
      </c>
      <c r="W34" s="72">
        <f>V34-U34</f>
        <v>859.00775241851738</v>
      </c>
      <c r="X34" s="39">
        <v>1</v>
      </c>
      <c r="Y34" s="72">
        <v>-2.0611190800000001</v>
      </c>
      <c r="Z34">
        <v>0.30399322499999998</v>
      </c>
      <c r="AA34">
        <v>0.20715141300000001</v>
      </c>
      <c r="AB34" s="41">
        <v>-5.6365661620000003</v>
      </c>
      <c r="AC34">
        <v>-1.821868896</v>
      </c>
      <c r="AD34">
        <v>-2.4610042569999999</v>
      </c>
      <c r="AE34" s="45">
        <v>0</v>
      </c>
      <c r="AF34" s="113">
        <v>0</v>
      </c>
      <c r="AG34" s="113">
        <v>0</v>
      </c>
      <c r="AH34" s="113">
        <v>11</v>
      </c>
      <c r="AI34" s="113">
        <v>19</v>
      </c>
      <c r="AJ34" s="113">
        <v>26</v>
      </c>
      <c r="AK34" s="113">
        <v>30</v>
      </c>
      <c r="AL34" s="113">
        <v>32</v>
      </c>
      <c r="AM34" s="113">
        <v>34</v>
      </c>
      <c r="AN34" s="113">
        <v>34</v>
      </c>
      <c r="AO34" s="113">
        <v>35</v>
      </c>
      <c r="AP34" s="113">
        <v>36</v>
      </c>
      <c r="AQ34" s="113">
        <v>37</v>
      </c>
      <c r="AR34" s="113">
        <v>38</v>
      </c>
      <c r="AS34" s="113">
        <v>39</v>
      </c>
      <c r="AT34" s="52">
        <v>40</v>
      </c>
      <c r="AU34" s="134">
        <v>11</v>
      </c>
      <c r="AV34" s="125">
        <v>40</v>
      </c>
      <c r="AW34" s="72">
        <v>16</v>
      </c>
      <c r="AX34">
        <v>25.8</v>
      </c>
      <c r="AY34" s="48">
        <f t="shared" si="1"/>
        <v>0.61250000000000004</v>
      </c>
      <c r="AZ34">
        <v>15</v>
      </c>
      <c r="BA34" s="72">
        <v>10</v>
      </c>
      <c r="BB34" s="143">
        <v>0.49100729799999998</v>
      </c>
      <c r="BC34" s="144">
        <v>443.11523440000002</v>
      </c>
      <c r="BD34" s="144">
        <v>-135.49804689999999</v>
      </c>
      <c r="BE34" s="144">
        <v>116.2990494</v>
      </c>
      <c r="BF34" s="41">
        <v>-45.989990234375</v>
      </c>
      <c r="BG34" s="41"/>
      <c r="BH34" s="39"/>
    </row>
    <row r="35" spans="1:60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G35" s="77" t="s">
        <v>57</v>
      </c>
      <c r="H35" t="s">
        <v>48</v>
      </c>
      <c r="J35" t="s">
        <v>50</v>
      </c>
      <c r="K35" s="41">
        <v>-62.549793243408203</v>
      </c>
      <c r="L35">
        <v>-70</v>
      </c>
      <c r="M35" s="41">
        <v>-32.012939453125</v>
      </c>
      <c r="N35">
        <v>139.16015625</v>
      </c>
      <c r="O35" s="22">
        <v>4</v>
      </c>
      <c r="P35" s="41">
        <v>0.88825014304306138</v>
      </c>
      <c r="Q35">
        <v>0.92654145620699202</v>
      </c>
      <c r="R35" s="41">
        <v>0.19289000000000001</v>
      </c>
      <c r="S35">
        <v>192.89000000000001</v>
      </c>
      <c r="T35" s="41">
        <v>9</v>
      </c>
      <c r="U35" s="72">
        <v>15.980196952819799</v>
      </c>
      <c r="V35" s="72">
        <v>883.05352783203102</v>
      </c>
      <c r="W35" s="72">
        <f t="shared" ref="W35:W58" si="5">V35-U35</f>
        <v>867.0733308792112</v>
      </c>
      <c r="X35" s="39">
        <v>1</v>
      </c>
      <c r="Y35" s="72">
        <v>-1.197706223</v>
      </c>
      <c r="Z35">
        <v>-0.251661301</v>
      </c>
      <c r="AA35">
        <v>-0.212543488</v>
      </c>
      <c r="AB35" s="41">
        <v>-2.5866146090000002</v>
      </c>
      <c r="AC35">
        <v>-1.7321224209999999</v>
      </c>
      <c r="AD35">
        <v>-0.57777214099999996</v>
      </c>
      <c r="AE35" s="45">
        <v>0</v>
      </c>
      <c r="AF35" s="113">
        <v>0</v>
      </c>
      <c r="AG35" s="113">
        <v>0</v>
      </c>
      <c r="AH35" s="113">
        <v>4</v>
      </c>
      <c r="AI35" s="113">
        <v>7</v>
      </c>
      <c r="AJ35" s="113">
        <v>11</v>
      </c>
      <c r="AK35" s="113">
        <v>13</v>
      </c>
      <c r="AL35" s="113">
        <v>15</v>
      </c>
      <c r="AM35" s="113">
        <v>17</v>
      </c>
      <c r="AN35" s="113">
        <v>17</v>
      </c>
      <c r="AO35" s="113">
        <v>20</v>
      </c>
      <c r="AP35" s="113">
        <v>7</v>
      </c>
      <c r="AQ35" s="113">
        <v>3</v>
      </c>
      <c r="AR35" s="113">
        <v>2</v>
      </c>
      <c r="AS35" s="113">
        <v>2</v>
      </c>
      <c r="AT35" s="52">
        <v>2</v>
      </c>
      <c r="AU35" s="134">
        <v>4</v>
      </c>
      <c r="AV35" s="125">
        <v>20</v>
      </c>
      <c r="AW35" s="72">
        <v>16</v>
      </c>
      <c r="AY35" s="48"/>
      <c r="AZ35">
        <v>-10.5</v>
      </c>
      <c r="BA35" s="72">
        <v>20</v>
      </c>
      <c r="BB35" s="143">
        <v>0.75289076600000004</v>
      </c>
      <c r="BC35" s="144">
        <v>308.2275391</v>
      </c>
      <c r="BD35" s="144">
        <v>-59.814453129999997</v>
      </c>
      <c r="BE35" s="144">
        <v>114.48313899999999</v>
      </c>
      <c r="BF35" s="41">
        <v>-42.083740234375</v>
      </c>
      <c r="BG35" s="41"/>
      <c r="BH35" s="39"/>
    </row>
    <row r="36" spans="1:60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G36" s="77" t="s">
        <v>57</v>
      </c>
      <c r="H36" t="s">
        <v>48</v>
      </c>
      <c r="I36" t="s">
        <v>112</v>
      </c>
      <c r="J36" t="s">
        <v>50</v>
      </c>
      <c r="K36" s="41">
        <v>-62.680618286132798</v>
      </c>
      <c r="L36">
        <v>-60</v>
      </c>
      <c r="M36" s="41">
        <v>-50.6591796875</v>
      </c>
      <c r="N36">
        <v>37.841796875</v>
      </c>
      <c r="O36" s="22">
        <v>18</v>
      </c>
      <c r="P36" s="41">
        <v>0.83343012291893492</v>
      </c>
      <c r="Q36">
        <v>0.83179354237847614</v>
      </c>
      <c r="R36" s="41">
        <v>0.30702000000000002</v>
      </c>
      <c r="S36">
        <v>307.02000000000004</v>
      </c>
      <c r="T36" s="41">
        <v>4</v>
      </c>
      <c r="U36" s="72">
        <v>-11.347870826721101</v>
      </c>
      <c r="V36" s="72">
        <v>216.29920959472599</v>
      </c>
      <c r="W36" s="72">
        <f t="shared" si="5"/>
        <v>227.6470804214471</v>
      </c>
      <c r="X36" s="39">
        <v>1</v>
      </c>
      <c r="Y36" s="72">
        <v>-9.5961265559999998</v>
      </c>
      <c r="Z36">
        <v>-2.7296714780000002</v>
      </c>
      <c r="AA36">
        <v>-1.2943572999999999</v>
      </c>
      <c r="AB36" s="41">
        <v>-16.00861359</v>
      </c>
      <c r="AC36">
        <v>-9.0963821409999994</v>
      </c>
      <c r="AD36">
        <v>-4.3102493290000004</v>
      </c>
      <c r="AE36" s="45">
        <v>0</v>
      </c>
      <c r="AF36" s="113">
        <v>18</v>
      </c>
      <c r="AG36" s="113">
        <v>27</v>
      </c>
      <c r="AH36" s="113">
        <v>33</v>
      </c>
      <c r="AI36" s="113">
        <v>34</v>
      </c>
      <c r="AJ36" s="113">
        <v>36</v>
      </c>
      <c r="AK36" s="113">
        <v>36</v>
      </c>
      <c r="AL36" s="113">
        <v>33</v>
      </c>
      <c r="AM36" s="113">
        <v>28</v>
      </c>
      <c r="AN36" s="113">
        <v>23</v>
      </c>
      <c r="AO36" s="113">
        <v>18</v>
      </c>
      <c r="AP36" s="113">
        <v>8</v>
      </c>
      <c r="AQ36" s="113">
        <v>1</v>
      </c>
      <c r="AR36" s="113">
        <v>1</v>
      </c>
      <c r="AS36" s="113">
        <v>1</v>
      </c>
      <c r="AT36" s="52">
        <v>1</v>
      </c>
      <c r="AU36" s="134">
        <v>18</v>
      </c>
      <c r="AV36" s="125">
        <v>36</v>
      </c>
      <c r="AW36" s="72">
        <v>27</v>
      </c>
      <c r="AX36">
        <v>27</v>
      </c>
      <c r="AY36" s="48">
        <f t="shared" si="1"/>
        <v>0</v>
      </c>
      <c r="AZ36">
        <v>-10</v>
      </c>
      <c r="BA36" s="72">
        <v>-10</v>
      </c>
      <c r="BB36" s="143">
        <v>0.381113857</v>
      </c>
      <c r="BC36" s="144">
        <v>534.05761719999998</v>
      </c>
      <c r="BD36" s="144">
        <v>-137.93945310000001</v>
      </c>
      <c r="BE36" s="144">
        <v>107.0527115</v>
      </c>
      <c r="BF36" s="41">
        <v>-54.931640625</v>
      </c>
      <c r="BG36" s="41"/>
      <c r="BH36" s="39"/>
    </row>
    <row r="37" spans="1:60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G37" s="77" t="s">
        <v>57</v>
      </c>
      <c r="H37" t="s">
        <v>48</v>
      </c>
      <c r="J37" t="s">
        <v>50</v>
      </c>
      <c r="K37" s="41">
        <v>-57.136283874511697</v>
      </c>
      <c r="L37">
        <v>-42</v>
      </c>
      <c r="M37" s="41">
        <v>-38.6962890625</v>
      </c>
      <c r="N37">
        <v>123.291015625</v>
      </c>
      <c r="O37" s="22">
        <v>3</v>
      </c>
      <c r="P37" s="41">
        <v>0.86624595288850759</v>
      </c>
      <c r="Q37">
        <v>0.637712930874482</v>
      </c>
      <c r="R37" s="41">
        <v>0.17388999999999999</v>
      </c>
      <c r="S37">
        <v>173.89</v>
      </c>
      <c r="T37" s="41">
        <v>3</v>
      </c>
      <c r="U37" s="72">
        <v>-37.877494812011697</v>
      </c>
      <c r="V37" s="72">
        <v>828.403564453125</v>
      </c>
      <c r="W37" s="72">
        <f t="shared" si="5"/>
        <v>866.28105926513672</v>
      </c>
      <c r="X37" s="39">
        <v>1</v>
      </c>
      <c r="Y37" s="72">
        <v>-0.78570747399999996</v>
      </c>
      <c r="Z37">
        <v>0.35870170600000001</v>
      </c>
      <c r="AA37">
        <v>0.69565010100000002</v>
      </c>
      <c r="AB37" s="41">
        <v>-7.2374515529999996</v>
      </c>
      <c r="AC37">
        <v>-5.7268314360000003</v>
      </c>
      <c r="AD37">
        <v>-0.53972816499999998</v>
      </c>
      <c r="AE37" s="45">
        <v>0</v>
      </c>
      <c r="AF37" s="113">
        <v>0</v>
      </c>
      <c r="AG37" s="113">
        <v>0</v>
      </c>
      <c r="AH37" s="113">
        <v>3</v>
      </c>
      <c r="AI37" s="113">
        <v>4</v>
      </c>
      <c r="AJ37" s="113">
        <v>6</v>
      </c>
      <c r="AK37" s="113">
        <v>7</v>
      </c>
      <c r="AL37" s="113">
        <v>6</v>
      </c>
      <c r="AM37" s="113">
        <v>6</v>
      </c>
      <c r="AN37" s="113">
        <v>6</v>
      </c>
      <c r="AO37" s="113">
        <v>6</v>
      </c>
      <c r="AP37" s="113">
        <v>6</v>
      </c>
      <c r="AQ37" s="113">
        <v>2</v>
      </c>
      <c r="AR37" s="113">
        <v>2</v>
      </c>
      <c r="AS37" s="113">
        <v>1</v>
      </c>
      <c r="AT37" s="52">
        <v>1</v>
      </c>
      <c r="AU37" s="134">
        <v>3</v>
      </c>
      <c r="AV37" s="125">
        <v>7</v>
      </c>
      <c r="AW37" s="72">
        <v>13.6</v>
      </c>
      <c r="AX37">
        <v>14.4</v>
      </c>
      <c r="AY37" s="48">
        <f t="shared" si="1"/>
        <v>5.8823529411764761E-2</v>
      </c>
      <c r="AZ37">
        <v>-30</v>
      </c>
      <c r="BA37" s="72">
        <v>-190</v>
      </c>
      <c r="BB37" s="143">
        <v>0.67624563000000004</v>
      </c>
      <c r="BC37" s="144">
        <v>359.49707030000002</v>
      </c>
      <c r="BD37" s="144">
        <v>-70.190429690000002</v>
      </c>
      <c r="BE37" s="144">
        <v>120.2224121</v>
      </c>
      <c r="BF37" s="41">
        <v>-49.102783203125</v>
      </c>
      <c r="BG37" s="41"/>
      <c r="BH37" s="39"/>
    </row>
    <row r="38" spans="1:60">
      <c r="A38" s="2">
        <v>46007</v>
      </c>
      <c r="B38" t="s">
        <v>90</v>
      </c>
      <c r="C38">
        <v>63549</v>
      </c>
      <c r="D38">
        <v>1557</v>
      </c>
      <c r="E38" t="s">
        <v>114</v>
      </c>
      <c r="F38" t="s">
        <v>65</v>
      </c>
      <c r="G38" s="77" t="s">
        <v>57</v>
      </c>
      <c r="H38" t="s">
        <v>48</v>
      </c>
      <c r="I38" t="s">
        <v>115</v>
      </c>
      <c r="J38" t="s">
        <v>50</v>
      </c>
      <c r="K38" s="41">
        <v>-65.283187866210895</v>
      </c>
      <c r="L38">
        <v>-63</v>
      </c>
      <c r="M38" s="41">
        <v>-43.121337890625</v>
      </c>
      <c r="N38">
        <v>150.146484375</v>
      </c>
      <c r="O38" s="22">
        <v>4</v>
      </c>
      <c r="P38" s="41">
        <v>0.75295792990759391</v>
      </c>
      <c r="Q38">
        <v>0.7525035934811245</v>
      </c>
      <c r="R38" s="41">
        <v>0.12078999999999999</v>
      </c>
      <c r="S38">
        <v>120.78999999999999</v>
      </c>
      <c r="T38" s="41">
        <v>4</v>
      </c>
      <c r="U38" s="72">
        <v>-30.408199310302699</v>
      </c>
      <c r="V38" s="72">
        <v>453.35037231445301</v>
      </c>
      <c r="W38" s="72">
        <f t="shared" si="5"/>
        <v>483.75857162475569</v>
      </c>
      <c r="X38" s="39">
        <v>1</v>
      </c>
      <c r="Y38" s="72">
        <v>-4.0745315550000001</v>
      </c>
      <c r="Z38">
        <v>-0.58026886</v>
      </c>
      <c r="AA38">
        <v>-5.5801391999999998E-2</v>
      </c>
      <c r="AB38" s="41">
        <v>-6.9059391019999996</v>
      </c>
      <c r="AC38">
        <v>-2.4198551180000001</v>
      </c>
      <c r="AD38">
        <v>-0.846876144</v>
      </c>
      <c r="AE38" s="45">
        <v>0</v>
      </c>
      <c r="AF38" s="113">
        <v>0</v>
      </c>
      <c r="AG38" s="113">
        <v>0</v>
      </c>
      <c r="AH38" s="113">
        <v>4</v>
      </c>
      <c r="AI38" s="113">
        <v>5</v>
      </c>
      <c r="AJ38" s="113">
        <v>9</v>
      </c>
      <c r="AK38" s="113">
        <v>12</v>
      </c>
      <c r="AL38" s="113">
        <v>16</v>
      </c>
      <c r="AM38" s="113">
        <v>17</v>
      </c>
      <c r="AN38" s="113">
        <v>18</v>
      </c>
      <c r="AO38" s="113">
        <v>17</v>
      </c>
      <c r="AP38" s="113">
        <v>15</v>
      </c>
      <c r="AQ38" s="113">
        <v>18</v>
      </c>
      <c r="AR38" s="113">
        <v>14</v>
      </c>
      <c r="AS38" s="113">
        <v>6</v>
      </c>
      <c r="AT38" s="52">
        <v>1</v>
      </c>
      <c r="AU38" s="134">
        <v>4</v>
      </c>
      <c r="AV38" s="125">
        <v>18</v>
      </c>
      <c r="AW38" s="72">
        <v>17.2</v>
      </c>
      <c r="AX38">
        <v>17.2</v>
      </c>
      <c r="AY38" s="48">
        <f t="shared" si="1"/>
        <v>0</v>
      </c>
      <c r="AZ38">
        <v>-25</v>
      </c>
      <c r="BA38" s="72">
        <v>-17.2</v>
      </c>
      <c r="BB38" s="143">
        <v>0.44488096199999999</v>
      </c>
      <c r="BC38" s="144">
        <v>463.8671875</v>
      </c>
      <c r="BD38" s="144">
        <v>-106.8115234</v>
      </c>
      <c r="BE38" s="144">
        <v>116.58933260000001</v>
      </c>
      <c r="BF38" s="41">
        <v>-45.013427734375</v>
      </c>
      <c r="BG38" s="41"/>
      <c r="BH38" s="39"/>
    </row>
    <row r="39" spans="1:60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G39" s="77" t="s">
        <v>57</v>
      </c>
      <c r="H39" t="s">
        <v>54</v>
      </c>
      <c r="J39" t="s">
        <v>50</v>
      </c>
      <c r="K39" s="41">
        <v>-60.0984077453613</v>
      </c>
      <c r="L39">
        <v>-68</v>
      </c>
      <c r="M39" s="41">
        <v>-44.25048828125</v>
      </c>
      <c r="N39">
        <v>67.138671875</v>
      </c>
      <c r="O39" s="22">
        <v>16</v>
      </c>
      <c r="P39" s="41">
        <v>0.76297505033241375</v>
      </c>
      <c r="Q39">
        <v>0.8019236271480461</v>
      </c>
      <c r="R39" s="41">
        <v>0.21157999999999999</v>
      </c>
      <c r="S39">
        <v>211.57999999999998</v>
      </c>
      <c r="T39" s="41">
        <v>3</v>
      </c>
      <c r="U39" s="72">
        <v>-3.7896409034728999</v>
      </c>
      <c r="V39" s="72">
        <v>455.165771484375</v>
      </c>
      <c r="W39" s="72">
        <f t="shared" si="5"/>
        <v>458.9554123878479</v>
      </c>
      <c r="X39" s="39">
        <v>1</v>
      </c>
      <c r="Y39" s="72">
        <v>-2.3150367740000002</v>
      </c>
      <c r="Z39">
        <v>0.43154525799999999</v>
      </c>
      <c r="AA39">
        <v>1.363092422</v>
      </c>
      <c r="AB39" s="41">
        <v>-7.1058654790000002</v>
      </c>
      <c r="AC39">
        <v>-4.435577393</v>
      </c>
      <c r="AD39">
        <v>-0.24398613</v>
      </c>
      <c r="AE39" s="45">
        <v>0</v>
      </c>
      <c r="AF39" s="113">
        <v>3</v>
      </c>
      <c r="AG39" s="113">
        <v>16</v>
      </c>
      <c r="AH39" s="113">
        <v>21</v>
      </c>
      <c r="AI39" s="113">
        <v>24</v>
      </c>
      <c r="AJ39" s="113">
        <v>26</v>
      </c>
      <c r="AK39" s="113">
        <v>24</v>
      </c>
      <c r="AL39" s="113">
        <v>19</v>
      </c>
      <c r="AM39" s="113">
        <v>16</v>
      </c>
      <c r="AN39" s="113">
        <v>2</v>
      </c>
      <c r="AO39" s="113">
        <v>2</v>
      </c>
      <c r="AP39" s="113">
        <v>2</v>
      </c>
      <c r="AQ39" s="113">
        <v>1</v>
      </c>
      <c r="AR39" s="113">
        <v>1</v>
      </c>
      <c r="AS39" s="113">
        <v>1</v>
      </c>
      <c r="AT39" s="52">
        <v>1</v>
      </c>
      <c r="AU39" s="134">
        <v>3</v>
      </c>
      <c r="AV39" s="125">
        <v>26</v>
      </c>
      <c r="AW39" s="72">
        <v>18.2</v>
      </c>
      <c r="AX39">
        <v>22.8</v>
      </c>
      <c r="AY39" s="48">
        <f t="shared" si="1"/>
        <v>0.25274725274725285</v>
      </c>
      <c r="AZ39">
        <v>-15</v>
      </c>
      <c r="BA39" s="72">
        <v>10</v>
      </c>
      <c r="BB39" s="143">
        <v>0.83763694799999999</v>
      </c>
      <c r="BC39" s="144">
        <v>300.90332030000002</v>
      </c>
      <c r="BD39" s="144">
        <v>-70.190429690000002</v>
      </c>
      <c r="BE39" s="144">
        <v>119.0468063</v>
      </c>
      <c r="BF39" s="41">
        <v>-51.33056640625</v>
      </c>
      <c r="BG39" s="41"/>
      <c r="BH39" s="39"/>
    </row>
    <row r="40" spans="1:60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G40" s="77" t="s">
        <v>57</v>
      </c>
      <c r="H40" t="s">
        <v>54</v>
      </c>
      <c r="J40" t="s">
        <v>50</v>
      </c>
      <c r="K40" s="41">
        <v>-54.056751251220703</v>
      </c>
      <c r="L40">
        <v>-59</v>
      </c>
      <c r="M40" s="41">
        <v>-44.769287109375</v>
      </c>
      <c r="N40">
        <v>139.16015625</v>
      </c>
      <c r="O40" s="22">
        <v>3</v>
      </c>
      <c r="P40" s="41">
        <v>0.87680707923854162</v>
      </c>
      <c r="Q40">
        <v>0.86909718447604478</v>
      </c>
      <c r="R40" s="41">
        <v>0.12225</v>
      </c>
      <c r="S40">
        <v>122.25</v>
      </c>
      <c r="T40" s="41">
        <v>6</v>
      </c>
      <c r="U40" s="72">
        <v>-67.915153503417898</v>
      </c>
      <c r="V40" s="72">
        <v>544.10491943359295</v>
      </c>
      <c r="W40" s="72">
        <f t="shared" si="5"/>
        <v>612.02007293701081</v>
      </c>
      <c r="X40" s="39">
        <v>1</v>
      </c>
      <c r="Y40" s="72">
        <v>-1.3106231690000001</v>
      </c>
      <c r="Z40">
        <v>-0.15095520000000001</v>
      </c>
      <c r="AA40">
        <v>-8.7333678999999997E-2</v>
      </c>
      <c r="AB40" s="41">
        <v>-3.4968433380000001</v>
      </c>
      <c r="AC40">
        <v>-1.2843189239999999</v>
      </c>
      <c r="AD40">
        <v>-0.45279502900000002</v>
      </c>
      <c r="AE40" s="45">
        <v>0</v>
      </c>
      <c r="AF40" s="113">
        <v>0</v>
      </c>
      <c r="AG40" s="113">
        <v>0</v>
      </c>
      <c r="AH40" s="113">
        <v>3</v>
      </c>
      <c r="AI40" s="113">
        <v>12</v>
      </c>
      <c r="AJ40" s="113">
        <v>19</v>
      </c>
      <c r="AK40" s="113">
        <v>23</v>
      </c>
      <c r="AL40" s="113">
        <v>27</v>
      </c>
      <c r="AM40" s="113">
        <v>29</v>
      </c>
      <c r="AN40" s="113">
        <v>30</v>
      </c>
      <c r="AO40" s="113">
        <v>31</v>
      </c>
      <c r="AP40" s="113">
        <v>25</v>
      </c>
      <c r="AQ40" s="113">
        <v>27</v>
      </c>
      <c r="AR40" s="113">
        <v>26</v>
      </c>
      <c r="AS40" s="113">
        <v>17</v>
      </c>
      <c r="AT40" s="52">
        <v>4</v>
      </c>
      <c r="AU40" s="134">
        <v>3</v>
      </c>
      <c r="AV40" s="125">
        <v>31</v>
      </c>
      <c r="AW40" s="72">
        <v>30.9</v>
      </c>
      <c r="AX40">
        <v>17.899999999999999</v>
      </c>
      <c r="AY40" s="48">
        <f t="shared" si="1"/>
        <v>-0.42071197411003236</v>
      </c>
      <c r="AZ40">
        <v>-55</v>
      </c>
      <c r="BA40" s="72">
        <v>-70</v>
      </c>
      <c r="BB40" s="143">
        <v>0.75244265799999999</v>
      </c>
      <c r="BC40" s="144">
        <v>338.74511719999998</v>
      </c>
      <c r="BD40" s="144">
        <v>-78.735351559999998</v>
      </c>
      <c r="BE40" s="144">
        <v>111.6403275</v>
      </c>
      <c r="BF40" s="41">
        <v>-46.38671875</v>
      </c>
      <c r="BG40" s="41"/>
      <c r="BH40" s="39"/>
    </row>
    <row r="41" spans="1:60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G41" s="77" t="s">
        <v>57</v>
      </c>
      <c r="H41" t="s">
        <v>54</v>
      </c>
      <c r="I41" t="s">
        <v>119</v>
      </c>
      <c r="J41" t="s">
        <v>50</v>
      </c>
      <c r="K41" s="41">
        <v>-60.664352416992102</v>
      </c>
      <c r="L41">
        <v>-60</v>
      </c>
      <c r="M41" s="41">
        <v>-43.853759765625</v>
      </c>
      <c r="N41">
        <v>132.4462890625</v>
      </c>
      <c r="O41" s="22">
        <v>12</v>
      </c>
      <c r="P41" s="41">
        <v>0.86200134415189222</v>
      </c>
      <c r="Q41">
        <v>0.82295652713322764</v>
      </c>
      <c r="R41" s="41">
        <v>0.10581</v>
      </c>
      <c r="S41">
        <v>105.81</v>
      </c>
      <c r="T41" s="41">
        <v>3</v>
      </c>
      <c r="U41" s="72">
        <v>-60.967117309570298</v>
      </c>
      <c r="V41" s="72">
        <v>394.64706420898398</v>
      </c>
      <c r="W41" s="72">
        <f t="shared" si="5"/>
        <v>455.61418151855429</v>
      </c>
      <c r="X41" s="39">
        <v>1</v>
      </c>
      <c r="Y41" s="72">
        <v>-2.0778312680000002</v>
      </c>
      <c r="Z41">
        <v>-0.64350509600000005</v>
      </c>
      <c r="AA41">
        <v>0.81155967699999998</v>
      </c>
      <c r="AB41" s="41">
        <v>-4.1543006900000004</v>
      </c>
      <c r="AC41">
        <v>-2.4605751040000001</v>
      </c>
      <c r="AD41">
        <v>-0.59759139999999999</v>
      </c>
      <c r="AE41" s="45">
        <v>0</v>
      </c>
      <c r="AF41" s="113">
        <v>0</v>
      </c>
      <c r="AG41" s="113">
        <v>0</v>
      </c>
      <c r="AH41" s="113">
        <v>12</v>
      </c>
      <c r="AI41" s="113">
        <v>25</v>
      </c>
      <c r="AJ41" s="113">
        <v>32</v>
      </c>
      <c r="AK41" s="113">
        <v>37</v>
      </c>
      <c r="AL41" s="113">
        <v>40</v>
      </c>
      <c r="AM41" s="113">
        <v>44</v>
      </c>
      <c r="AN41" s="113">
        <v>47</v>
      </c>
      <c r="AO41" s="113">
        <v>52</v>
      </c>
      <c r="AP41" s="113">
        <v>56</v>
      </c>
      <c r="AQ41" s="113">
        <v>56</v>
      </c>
      <c r="AR41" s="113">
        <v>11</v>
      </c>
      <c r="AS41" s="113">
        <v>7</v>
      </c>
      <c r="AT41" s="52">
        <v>3</v>
      </c>
      <c r="AU41" s="134">
        <v>12</v>
      </c>
      <c r="AV41" s="125">
        <v>56</v>
      </c>
      <c r="AW41" s="72">
        <v>22.9</v>
      </c>
      <c r="AX41">
        <v>28</v>
      </c>
      <c r="AY41" s="48">
        <f t="shared" si="1"/>
        <v>0.2227074235807861</v>
      </c>
      <c r="AZ41">
        <v>-35</v>
      </c>
      <c r="BA41" s="72">
        <v>-35</v>
      </c>
      <c r="BB41" s="143">
        <v>0.43466016699999999</v>
      </c>
      <c r="BC41" s="144">
        <v>607.91015630000004</v>
      </c>
      <c r="BD41" s="144">
        <v>-134.88769529999999</v>
      </c>
      <c r="BE41" s="144">
        <v>125.014122</v>
      </c>
      <c r="BF41" s="41">
        <v>-50.1708984375</v>
      </c>
      <c r="BG41" s="41"/>
      <c r="BH41" s="39"/>
    </row>
    <row r="42" spans="1:60">
      <c r="A42" s="2">
        <v>46007</v>
      </c>
      <c r="B42" t="s">
        <v>90</v>
      </c>
      <c r="C42">
        <v>63546</v>
      </c>
      <c r="D42" s="58">
        <v>1561</v>
      </c>
      <c r="E42" t="s">
        <v>120</v>
      </c>
      <c r="F42" t="s">
        <v>65</v>
      </c>
      <c r="G42" s="82" t="s">
        <v>57</v>
      </c>
      <c r="H42" t="s">
        <v>54</v>
      </c>
      <c r="I42" t="s">
        <v>121</v>
      </c>
      <c r="J42" t="s">
        <v>50</v>
      </c>
      <c r="K42" s="41">
        <v>-33.1738891601562</v>
      </c>
      <c r="L42">
        <v>-31</v>
      </c>
      <c r="M42" s="41">
        <v>-29.541015625</v>
      </c>
      <c r="N42">
        <v>477.9052734375</v>
      </c>
      <c r="O42" s="22">
        <v>4</v>
      </c>
      <c r="P42" s="41">
        <v>0.87021441730745519</v>
      </c>
      <c r="Q42">
        <v>0.89041120310166066</v>
      </c>
      <c r="R42" s="42"/>
      <c r="S42" s="4"/>
      <c r="T42" s="41">
        <v>5</v>
      </c>
      <c r="U42" s="72">
        <v>-608.59509277343705</v>
      </c>
      <c r="V42" s="72">
        <v>104.80831909179599</v>
      </c>
      <c r="W42" s="72">
        <f t="shared" si="5"/>
        <v>713.40341186523301</v>
      </c>
      <c r="X42" s="39">
        <v>1</v>
      </c>
      <c r="Y42" s="72">
        <v>-1.5772113800000001</v>
      </c>
      <c r="Z42">
        <v>-1.2567768100000001</v>
      </c>
      <c r="AA42">
        <v>-0.79079437299999999</v>
      </c>
      <c r="AB42" s="41">
        <v>-1.9637718200000001</v>
      </c>
      <c r="AC42">
        <v>-1.7348899840000001</v>
      </c>
      <c r="AD42">
        <v>-1.6492748260000001</v>
      </c>
      <c r="AE42" s="45">
        <v>0</v>
      </c>
      <c r="AF42" s="113">
        <v>0</v>
      </c>
      <c r="AG42" s="113">
        <v>0</v>
      </c>
      <c r="AH42" s="113">
        <v>0</v>
      </c>
      <c r="AI42" s="113">
        <v>0</v>
      </c>
      <c r="AJ42" s="113">
        <v>1</v>
      </c>
      <c r="AK42" s="113">
        <v>1</v>
      </c>
      <c r="AL42" s="113">
        <v>2</v>
      </c>
      <c r="AM42" s="113">
        <v>3</v>
      </c>
      <c r="AN42" s="113">
        <v>3</v>
      </c>
      <c r="AO42" s="113">
        <v>4</v>
      </c>
      <c r="AP42" s="113">
        <v>4</v>
      </c>
      <c r="AQ42" s="113">
        <v>5</v>
      </c>
      <c r="AR42" s="113">
        <v>4</v>
      </c>
      <c r="AS42" s="113">
        <v>3</v>
      </c>
      <c r="AT42" s="52">
        <v>5</v>
      </c>
      <c r="AU42" s="134">
        <v>1</v>
      </c>
      <c r="AV42" s="125">
        <v>5</v>
      </c>
      <c r="AW42" s="72">
        <v>29.3</v>
      </c>
      <c r="AX42">
        <v>29.3</v>
      </c>
      <c r="AY42" s="48">
        <f t="shared" si="1"/>
        <v>0</v>
      </c>
      <c r="AZ42">
        <v>-175</v>
      </c>
      <c r="BA42" s="72">
        <v>-400</v>
      </c>
      <c r="BB42" s="143">
        <v>0.57877844599999995</v>
      </c>
      <c r="BC42" s="144">
        <v>114.1357422</v>
      </c>
      <c r="BD42" s="144">
        <v>-47.607421879999997</v>
      </c>
      <c r="BE42" s="144">
        <v>82.5234375</v>
      </c>
      <c r="BF42" s="148">
        <v>-35.552978515625</v>
      </c>
      <c r="BG42" s="148" t="s">
        <v>70</v>
      </c>
      <c r="BH42" s="147" t="s">
        <v>75</v>
      </c>
    </row>
    <row r="43" spans="1:60">
      <c r="A43" s="2">
        <v>46008</v>
      </c>
      <c r="B43" t="s">
        <v>90</v>
      </c>
      <c r="C43">
        <v>63554</v>
      </c>
      <c r="D43" s="19">
        <v>1562</v>
      </c>
      <c r="E43" t="s">
        <v>91</v>
      </c>
      <c r="F43" t="s">
        <v>46</v>
      </c>
      <c r="G43" s="77" t="s">
        <v>57</v>
      </c>
      <c r="H43" t="s">
        <v>54</v>
      </c>
      <c r="J43" t="s">
        <v>50</v>
      </c>
      <c r="K43" s="41">
        <v>-59.842552185058501</v>
      </c>
      <c r="L43">
        <v>-5</v>
      </c>
      <c r="M43" s="41">
        <v>-44.73876953125</v>
      </c>
      <c r="N43">
        <v>14.6484375</v>
      </c>
      <c r="O43" s="22">
        <v>0</v>
      </c>
      <c r="P43" s="41">
        <v>0.70549976818645799</v>
      </c>
      <c r="Q43">
        <v>0.92985168424505504</v>
      </c>
      <c r="R43" s="41">
        <v>0.72482000000000002</v>
      </c>
      <c r="S43">
        <v>724.82</v>
      </c>
      <c r="T43" s="41">
        <v>1</v>
      </c>
      <c r="U43" s="72">
        <v>-20.67476272583</v>
      </c>
      <c r="V43" s="72">
        <v>81.474105834960895</v>
      </c>
      <c r="W43" s="72">
        <f t="shared" si="5"/>
        <v>102.1488685607909</v>
      </c>
      <c r="X43" s="39">
        <v>1</v>
      </c>
      <c r="Y43" s="72">
        <v>-16.75872421</v>
      </c>
      <c r="Z43">
        <v>-2.9647789000000002</v>
      </c>
      <c r="AA43">
        <v>-2.505760193</v>
      </c>
      <c r="AB43" s="41">
        <v>-6.4359722140000004</v>
      </c>
      <c r="AC43">
        <v>3.7416400909999998</v>
      </c>
      <c r="AD43">
        <v>4.5425205230000003</v>
      </c>
      <c r="AE43" s="45">
        <v>0</v>
      </c>
      <c r="AF43" s="113">
        <v>0</v>
      </c>
      <c r="AG43" s="113">
        <v>1</v>
      </c>
      <c r="AH43" s="113">
        <v>3</v>
      </c>
      <c r="AI43" s="113">
        <v>2</v>
      </c>
      <c r="AJ43" s="113">
        <v>2</v>
      </c>
      <c r="AK43" s="113">
        <v>1</v>
      </c>
      <c r="AL43" s="113">
        <v>1</v>
      </c>
      <c r="AM43" s="113">
        <v>1</v>
      </c>
      <c r="AN43" s="113">
        <v>1</v>
      </c>
      <c r="AO43" s="113">
        <v>1</v>
      </c>
      <c r="AP43" s="113">
        <v>1</v>
      </c>
      <c r="AQ43" s="113">
        <v>1</v>
      </c>
      <c r="AR43" s="113">
        <v>1</v>
      </c>
      <c r="AS43" s="113">
        <v>1</v>
      </c>
      <c r="AT43" s="52">
        <v>1</v>
      </c>
      <c r="AU43" s="134">
        <v>1</v>
      </c>
      <c r="AV43" s="125">
        <v>3</v>
      </c>
      <c r="AW43" s="72">
        <v>28</v>
      </c>
      <c r="AX43">
        <v>28</v>
      </c>
      <c r="AY43" s="48">
        <f t="shared" si="1"/>
        <v>0</v>
      </c>
      <c r="AZ43">
        <v>-3</v>
      </c>
      <c r="BA43" s="72">
        <v>-2000</v>
      </c>
      <c r="BB43" s="143">
        <v>0.22168078999999999</v>
      </c>
      <c r="BC43" s="144">
        <v>409.5458984</v>
      </c>
      <c r="BD43" s="144">
        <v>-260.00976559999998</v>
      </c>
      <c r="BE43" s="144">
        <v>101.13097380000001</v>
      </c>
      <c r="BF43" s="146">
        <v>-48.980712890625</v>
      </c>
      <c r="BG43" s="146" t="s">
        <v>70</v>
      </c>
      <c r="BH43" s="147" t="s">
        <v>89</v>
      </c>
    </row>
    <row r="44" spans="1:60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G44" s="77" t="s">
        <v>57</v>
      </c>
      <c r="H44" t="s">
        <v>54</v>
      </c>
      <c r="I44" t="s">
        <v>123</v>
      </c>
      <c r="J44" t="s">
        <v>50</v>
      </c>
      <c r="K44" s="41">
        <v>-57.323329925537102</v>
      </c>
      <c r="L44">
        <v>-45</v>
      </c>
      <c r="M44" s="41">
        <v>-38.177490234375</v>
      </c>
      <c r="N44">
        <v>162.9638671875</v>
      </c>
      <c r="O44" s="22">
        <v>13</v>
      </c>
      <c r="P44" s="41">
        <v>0.80211747096002717</v>
      </c>
      <c r="Q44">
        <v>0.77758590790616178</v>
      </c>
      <c r="R44" s="41">
        <v>9.9320000000000006E-2</v>
      </c>
      <c r="S44">
        <v>99.320000000000007</v>
      </c>
      <c r="T44" s="41">
        <v>3</v>
      </c>
      <c r="U44" s="72">
        <v>-149.780517578125</v>
      </c>
      <c r="V44" s="72">
        <v>507.51513671875</v>
      </c>
      <c r="W44" s="72">
        <f t="shared" si="5"/>
        <v>657.295654296875</v>
      </c>
      <c r="X44" s="39">
        <v>1</v>
      </c>
      <c r="Y44" s="72">
        <v>-2.092996597</v>
      </c>
      <c r="Z44">
        <v>-0.58237647999999997</v>
      </c>
      <c r="AA44">
        <v>-0.700679779</v>
      </c>
      <c r="AB44" s="41">
        <v>-4.2642078400000001</v>
      </c>
      <c r="AC44">
        <v>-2.7230701449999999</v>
      </c>
      <c r="AD44">
        <v>-0.90778923</v>
      </c>
      <c r="AE44" s="45">
        <v>0</v>
      </c>
      <c r="AF44" s="113">
        <v>0</v>
      </c>
      <c r="AG44" s="113">
        <v>0</v>
      </c>
      <c r="AH44" s="113">
        <v>5</v>
      </c>
      <c r="AI44" s="113">
        <v>13</v>
      </c>
      <c r="AJ44" s="113">
        <v>14</v>
      </c>
      <c r="AK44" s="113">
        <v>15</v>
      </c>
      <c r="AL44" s="113">
        <v>12</v>
      </c>
      <c r="AM44" s="113">
        <v>12</v>
      </c>
      <c r="AN44" s="113">
        <v>13</v>
      </c>
      <c r="AO44" s="113">
        <v>11</v>
      </c>
      <c r="AP44" s="113">
        <v>11</v>
      </c>
      <c r="AQ44" s="113">
        <v>9</v>
      </c>
      <c r="AR44" s="113">
        <v>2</v>
      </c>
      <c r="AS44" s="113">
        <v>1</v>
      </c>
      <c r="AT44" s="52">
        <v>1</v>
      </c>
      <c r="AU44" s="134">
        <v>5</v>
      </c>
      <c r="AV44" s="125">
        <v>15</v>
      </c>
      <c r="AW44" s="72">
        <v>22</v>
      </c>
      <c r="AX44">
        <v>22</v>
      </c>
      <c r="AY44" s="48">
        <f t="shared" si="1"/>
        <v>0</v>
      </c>
      <c r="AZ44">
        <v>-100</v>
      </c>
      <c r="BA44" s="72">
        <v>-140</v>
      </c>
      <c r="BB44" s="143">
        <v>0.43876317100000001</v>
      </c>
      <c r="BC44" s="144">
        <v>514.52636719999998</v>
      </c>
      <c r="BD44" s="144">
        <v>-123.29101559999999</v>
      </c>
      <c r="BE44" s="144">
        <v>121.7711182</v>
      </c>
      <c r="BF44" s="41">
        <v>-38.970947265625</v>
      </c>
      <c r="BG44" s="41"/>
      <c r="BH44" s="39"/>
    </row>
    <row r="45" spans="1:60">
      <c r="A45" s="2">
        <v>46008</v>
      </c>
      <c r="B45" t="s">
        <v>44</v>
      </c>
      <c r="C45">
        <v>63554</v>
      </c>
      <c r="D45">
        <v>1564</v>
      </c>
      <c r="E45" t="s">
        <v>124</v>
      </c>
      <c r="F45" t="s">
        <v>46</v>
      </c>
      <c r="G45" s="77" t="s">
        <v>57</v>
      </c>
      <c r="H45" t="s">
        <v>54</v>
      </c>
      <c r="I45" t="s">
        <v>125</v>
      </c>
      <c r="J45" t="s">
        <v>50</v>
      </c>
      <c r="K45" s="41">
        <v>-42.973609924316399</v>
      </c>
      <c r="L45">
        <v>-45</v>
      </c>
      <c r="M45" s="41">
        <v>-29.266357421875</v>
      </c>
      <c r="N45">
        <v>186.1572265625</v>
      </c>
      <c r="O45" s="22">
        <v>0</v>
      </c>
      <c r="P45" s="41">
        <v>0.8713472458661673</v>
      </c>
      <c r="Q45">
        <v>0.8730468380590295</v>
      </c>
      <c r="R45" s="41">
        <v>0.11252</v>
      </c>
      <c r="S45">
        <v>112.52</v>
      </c>
      <c r="T45" s="41">
        <v>5</v>
      </c>
      <c r="U45" s="72">
        <v>-125.2280960083</v>
      </c>
      <c r="V45" s="72">
        <v>582.46319580078102</v>
      </c>
      <c r="W45" s="72">
        <f t="shared" si="5"/>
        <v>707.69129180908101</v>
      </c>
      <c r="X45" s="39">
        <v>1</v>
      </c>
      <c r="Y45" s="72">
        <v>-1.3744735720000001</v>
      </c>
      <c r="Z45">
        <v>-0.71834564199999995</v>
      </c>
      <c r="AA45">
        <v>-0.56073570299999997</v>
      </c>
      <c r="AB45" s="41">
        <v>-3.0368118289999999</v>
      </c>
      <c r="AC45">
        <v>-2.0755081180000001</v>
      </c>
      <c r="AD45">
        <v>-0.40763854999999999</v>
      </c>
      <c r="AE45" s="45">
        <v>0</v>
      </c>
      <c r="AF45" s="113">
        <v>0</v>
      </c>
      <c r="AG45" s="113">
        <v>0</v>
      </c>
      <c r="AH45" s="113">
        <v>0</v>
      </c>
      <c r="AI45" s="113">
        <v>0</v>
      </c>
      <c r="AJ45" s="113">
        <v>2</v>
      </c>
      <c r="AK45" s="113">
        <v>10</v>
      </c>
      <c r="AL45" s="113">
        <v>13</v>
      </c>
      <c r="AM45" s="113">
        <v>14</v>
      </c>
      <c r="AN45" s="113">
        <v>10</v>
      </c>
      <c r="AO45" s="113">
        <v>9</v>
      </c>
      <c r="AP45" s="113">
        <v>11</v>
      </c>
      <c r="AQ45" s="113">
        <v>9</v>
      </c>
      <c r="AR45" s="113">
        <v>9</v>
      </c>
      <c r="AS45" s="113">
        <v>5</v>
      </c>
      <c r="AT45" s="52">
        <v>2</v>
      </c>
      <c r="AU45" s="134">
        <v>2</v>
      </c>
      <c r="AV45" s="125">
        <v>14</v>
      </c>
      <c r="AW45" s="72">
        <v>19.600000000000001</v>
      </c>
      <c r="AX45">
        <v>19.600000000000001</v>
      </c>
      <c r="AY45" s="48">
        <f t="shared" si="1"/>
        <v>0</v>
      </c>
      <c r="AZ45">
        <v>-125</v>
      </c>
      <c r="BA45" s="72">
        <v>-185</v>
      </c>
      <c r="BB45" s="143">
        <v>0.49803692100000002</v>
      </c>
      <c r="BC45" s="144">
        <v>495.60546879999998</v>
      </c>
      <c r="BD45" s="144">
        <v>-117.1875</v>
      </c>
      <c r="BE45" s="144">
        <v>126.6814194</v>
      </c>
      <c r="BF45" s="41">
        <v>-35.2783203125</v>
      </c>
      <c r="BG45" s="41"/>
      <c r="BH45" s="39"/>
    </row>
    <row r="46" spans="1:60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G46" s="77" t="s">
        <v>57</v>
      </c>
      <c r="H46" t="s">
        <v>48</v>
      </c>
      <c r="I46" t="s">
        <v>127</v>
      </c>
      <c r="J46" t="s">
        <v>50</v>
      </c>
      <c r="K46" s="41">
        <v>-71.541549682617102</v>
      </c>
      <c r="L46">
        <v>-68</v>
      </c>
      <c r="M46" s="41">
        <v>-33.355712890625</v>
      </c>
      <c r="N46">
        <v>134.8876953125</v>
      </c>
      <c r="O46" s="22">
        <v>7</v>
      </c>
      <c r="P46" s="41">
        <v>0.83084351400441081</v>
      </c>
      <c r="Q46">
        <v>0.72890779085812618</v>
      </c>
      <c r="R46" s="41">
        <v>0.27510000000000001</v>
      </c>
      <c r="S46">
        <v>275.10000000000002</v>
      </c>
      <c r="T46" s="41">
        <v>6</v>
      </c>
      <c r="U46" s="72">
        <v>-1.5688216686248699</v>
      </c>
      <c r="V46" s="72">
        <v>731.044677734375</v>
      </c>
      <c r="W46" s="72">
        <f t="shared" si="5"/>
        <v>732.61349940299988</v>
      </c>
      <c r="X46" s="39">
        <v>1</v>
      </c>
      <c r="Y46" s="72">
        <v>-3.1836032869999999</v>
      </c>
      <c r="Z46">
        <v>5.1259995000000003E-2</v>
      </c>
      <c r="AA46">
        <v>0.350536346</v>
      </c>
      <c r="AB46" s="41">
        <v>-6.491662979</v>
      </c>
      <c r="AC46">
        <v>-5.33199501</v>
      </c>
      <c r="AD46">
        <v>-3.2115306850000001</v>
      </c>
      <c r="AE46" s="45">
        <v>0</v>
      </c>
      <c r="AF46" s="113">
        <v>0</v>
      </c>
      <c r="AG46" s="113">
        <v>0</v>
      </c>
      <c r="AH46" s="113">
        <v>7</v>
      </c>
      <c r="AI46" s="113">
        <v>12</v>
      </c>
      <c r="AJ46" s="113">
        <v>17</v>
      </c>
      <c r="AK46" s="113">
        <v>22</v>
      </c>
      <c r="AL46" s="113">
        <v>25</v>
      </c>
      <c r="AM46" s="113">
        <v>27</v>
      </c>
      <c r="AN46" s="113">
        <v>29</v>
      </c>
      <c r="AO46" s="113">
        <v>30</v>
      </c>
      <c r="AP46" s="113">
        <v>33</v>
      </c>
      <c r="AQ46" s="113">
        <v>37</v>
      </c>
      <c r="AR46" s="113">
        <v>34</v>
      </c>
      <c r="AS46" s="113">
        <v>27</v>
      </c>
      <c r="AT46" s="52">
        <v>21</v>
      </c>
      <c r="AU46" s="134">
        <v>7</v>
      </c>
      <c r="AV46" s="125">
        <v>37</v>
      </c>
      <c r="AW46" s="72">
        <v>15</v>
      </c>
      <c r="AX46">
        <v>15</v>
      </c>
      <c r="AY46" s="48">
        <f t="shared" si="1"/>
        <v>0</v>
      </c>
      <c r="AZ46">
        <v>10</v>
      </c>
      <c r="BA46" s="72">
        <v>0</v>
      </c>
      <c r="BB46" s="143">
        <v>0.413483769</v>
      </c>
      <c r="BC46" s="144">
        <v>541.9921875</v>
      </c>
      <c r="BD46" s="144">
        <v>-137.3291016</v>
      </c>
      <c r="BE46" s="144">
        <v>123.9297028</v>
      </c>
      <c r="BF46" s="41">
        <v>-36.4990234375</v>
      </c>
      <c r="BG46" s="41"/>
      <c r="BH46" s="39"/>
    </row>
    <row r="47" spans="1:60">
      <c r="A47" s="2">
        <v>46008</v>
      </c>
      <c r="B47" t="s">
        <v>90</v>
      </c>
      <c r="C47">
        <v>63555</v>
      </c>
      <c r="D47" s="19">
        <v>1566</v>
      </c>
      <c r="E47" t="s">
        <v>104</v>
      </c>
      <c r="F47" t="s">
        <v>46</v>
      </c>
      <c r="G47" s="77" t="s">
        <v>57</v>
      </c>
      <c r="H47" t="s">
        <v>48</v>
      </c>
      <c r="J47" t="s">
        <v>128</v>
      </c>
      <c r="K47" s="41">
        <v>-51.133152008056598</v>
      </c>
      <c r="L47">
        <v>-75</v>
      </c>
      <c r="M47" s="42"/>
      <c r="N47" s="4"/>
      <c r="O47" s="4"/>
      <c r="P47" s="41">
        <v>0.92483817023823689</v>
      </c>
      <c r="Q47">
        <v>0.93520474431563549</v>
      </c>
      <c r="R47" s="41">
        <v>0.16098000000000001</v>
      </c>
      <c r="S47">
        <v>160.98000000000002</v>
      </c>
      <c r="T47" s="41">
        <v>10</v>
      </c>
      <c r="U47" s="72">
        <v>-220.60479736328099</v>
      </c>
      <c r="V47" s="72">
        <v>214.78114318847599</v>
      </c>
      <c r="W47" s="72">
        <f t="shared" si="5"/>
        <v>435.38594055175702</v>
      </c>
      <c r="X47" s="39">
        <v>1</v>
      </c>
      <c r="Y47" s="72">
        <v>-4.9377307889999997</v>
      </c>
      <c r="Z47">
        <v>-1.016222</v>
      </c>
      <c r="AA47">
        <v>-0.39327621499999998</v>
      </c>
      <c r="AB47" s="41">
        <v>-4.0666866300000004</v>
      </c>
      <c r="AC47">
        <v>-1.030187607</v>
      </c>
      <c r="AD47">
        <v>-0.77745056199999996</v>
      </c>
      <c r="AE47" s="45">
        <v>0</v>
      </c>
      <c r="AF47" s="113">
        <v>0</v>
      </c>
      <c r="AG47" s="113">
        <v>0</v>
      </c>
      <c r="AH47" s="113">
        <v>0</v>
      </c>
      <c r="AI47" s="113">
        <v>4</v>
      </c>
      <c r="AJ47" s="113">
        <v>14</v>
      </c>
      <c r="AK47" s="113">
        <v>8</v>
      </c>
      <c r="AL47" s="113">
        <v>27</v>
      </c>
      <c r="AM47" s="113">
        <v>20</v>
      </c>
      <c r="AN47" s="113">
        <v>28</v>
      </c>
      <c r="AO47" s="113">
        <v>119</v>
      </c>
      <c r="AP47" s="113">
        <v>129</v>
      </c>
      <c r="AQ47" s="113">
        <v>27</v>
      </c>
      <c r="AR47" s="113">
        <v>23</v>
      </c>
      <c r="AS47" s="113">
        <v>23</v>
      </c>
      <c r="AT47" s="52">
        <v>21</v>
      </c>
      <c r="AU47" s="134">
        <v>4</v>
      </c>
      <c r="AV47" s="125">
        <v>129</v>
      </c>
      <c r="AW47" s="72">
        <v>23</v>
      </c>
      <c r="AX47">
        <v>23</v>
      </c>
      <c r="AY47" s="48">
        <f t="shared" si="1"/>
        <v>0</v>
      </c>
      <c r="AZ47">
        <v>-14</v>
      </c>
      <c r="BA47" s="72">
        <v>-2000</v>
      </c>
      <c r="BB47" s="143">
        <v>0.156182662</v>
      </c>
      <c r="BC47" s="144">
        <v>464.4775391</v>
      </c>
      <c r="BD47" s="144">
        <v>-335.69335940000002</v>
      </c>
      <c r="BE47" s="144">
        <v>93.551200870000002</v>
      </c>
      <c r="BF47" s="146">
        <v>-36.56005859375</v>
      </c>
      <c r="BG47" s="146" t="s">
        <v>70</v>
      </c>
      <c r="BH47" s="147" t="s">
        <v>89</v>
      </c>
    </row>
    <row r="48" spans="1:60">
      <c r="A48" s="2">
        <v>46008</v>
      </c>
      <c r="B48" t="s">
        <v>90</v>
      </c>
      <c r="C48">
        <v>63555</v>
      </c>
      <c r="D48">
        <v>1567</v>
      </c>
      <c r="E48" t="s">
        <v>110</v>
      </c>
      <c r="F48" t="s">
        <v>46</v>
      </c>
      <c r="G48" s="77" t="s">
        <v>57</v>
      </c>
      <c r="H48" t="s">
        <v>48</v>
      </c>
      <c r="J48" t="s">
        <v>50</v>
      </c>
      <c r="K48" s="41">
        <v>-65.958045959472599</v>
      </c>
      <c r="L48">
        <v>-53</v>
      </c>
      <c r="M48" s="41">
        <v>-28.9306640625</v>
      </c>
      <c r="N48">
        <v>162.353515625</v>
      </c>
      <c r="O48" s="22">
        <v>8</v>
      </c>
      <c r="P48" s="41">
        <v>0.94726741905718459</v>
      </c>
      <c r="Q48">
        <v>0.93975326824965699</v>
      </c>
      <c r="R48" s="41">
        <v>0.24883</v>
      </c>
      <c r="S48">
        <v>248.82999999999998</v>
      </c>
      <c r="T48" s="41">
        <v>5</v>
      </c>
      <c r="U48" s="72">
        <v>-171.49124145507801</v>
      </c>
      <c r="V48" s="72">
        <v>646.39361572265602</v>
      </c>
      <c r="W48" s="72">
        <f t="shared" si="5"/>
        <v>817.88485717773403</v>
      </c>
      <c r="X48" s="39">
        <v>1</v>
      </c>
      <c r="Y48" s="72">
        <v>-0.54853057900000002</v>
      </c>
      <c r="Z48">
        <v>-0.45697784400000002</v>
      </c>
      <c r="AA48">
        <v>0.59473609900000002</v>
      </c>
      <c r="AB48" s="41">
        <v>-1.215524673</v>
      </c>
      <c r="AC48">
        <v>-1.2918186190000001</v>
      </c>
      <c r="AD48">
        <v>-0.87154769899999995</v>
      </c>
      <c r="AE48" s="45">
        <v>0</v>
      </c>
      <c r="AF48" s="113">
        <v>0</v>
      </c>
      <c r="AG48" s="113">
        <v>0</v>
      </c>
      <c r="AH48" s="113">
        <v>3</v>
      </c>
      <c r="AI48" s="113">
        <v>8</v>
      </c>
      <c r="AJ48" s="113">
        <v>11</v>
      </c>
      <c r="AK48" s="113">
        <v>11</v>
      </c>
      <c r="AL48" s="113">
        <v>8</v>
      </c>
      <c r="AM48" s="113">
        <v>5</v>
      </c>
      <c r="AN48" s="113">
        <v>5</v>
      </c>
      <c r="AO48" s="113">
        <v>3</v>
      </c>
      <c r="AP48" s="113">
        <v>4</v>
      </c>
      <c r="AQ48" s="113">
        <v>3</v>
      </c>
      <c r="AR48" s="113">
        <v>3</v>
      </c>
      <c r="AS48" s="113">
        <v>3</v>
      </c>
      <c r="AT48" s="52">
        <v>3</v>
      </c>
      <c r="AU48" s="134">
        <v>3</v>
      </c>
      <c r="AV48" s="125">
        <v>11</v>
      </c>
      <c r="AW48" s="72">
        <v>14</v>
      </c>
      <c r="AX48">
        <v>14</v>
      </c>
      <c r="AY48" s="48">
        <f t="shared" si="1"/>
        <v>0</v>
      </c>
      <c r="AZ48">
        <v>-14</v>
      </c>
      <c r="BA48" s="72">
        <v>-70</v>
      </c>
      <c r="BB48" s="143">
        <v>0.59986972800000005</v>
      </c>
      <c r="BC48" s="144">
        <v>328.97949219999998</v>
      </c>
      <c r="BD48" s="144">
        <v>-97.65625</v>
      </c>
      <c r="BE48" s="144">
        <v>114.03685</v>
      </c>
      <c r="BF48" s="41">
        <v>-26.91650390625</v>
      </c>
      <c r="BG48" s="41"/>
      <c r="BH48" s="39"/>
    </row>
    <row r="49" spans="1:60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G49" s="77" t="s">
        <v>47</v>
      </c>
      <c r="H49" t="s">
        <v>54</v>
      </c>
      <c r="J49" t="s">
        <v>50</v>
      </c>
      <c r="K49" s="41">
        <v>-61.160972595214801</v>
      </c>
      <c r="L49" s="4"/>
      <c r="M49" s="41">
        <v>-45.5322265625</v>
      </c>
      <c r="N49">
        <v>114.74609375</v>
      </c>
      <c r="O49" s="22">
        <v>17</v>
      </c>
      <c r="P49" s="41">
        <v>0.8208624246115821</v>
      </c>
      <c r="Q49">
        <v>0.85686092864697039</v>
      </c>
      <c r="R49" s="41">
        <v>0.13056000000000001</v>
      </c>
      <c r="S49">
        <v>130.56</v>
      </c>
      <c r="T49" s="41">
        <v>4</v>
      </c>
      <c r="U49" s="72">
        <v>15.7275743484497</v>
      </c>
      <c r="V49" s="72">
        <v>500.06573486328102</v>
      </c>
      <c r="W49" s="72">
        <f t="shared" si="5"/>
        <v>484.33816051483132</v>
      </c>
      <c r="X49" s="39">
        <v>1</v>
      </c>
      <c r="Y49" s="72">
        <v>-7.1926975249999998</v>
      </c>
      <c r="Z49">
        <v>-1.791086197</v>
      </c>
      <c r="AA49">
        <v>-0.184194565</v>
      </c>
      <c r="AB49" s="41">
        <v>-14.061510090000001</v>
      </c>
      <c r="AC49">
        <v>-11.37596321</v>
      </c>
      <c r="AD49">
        <v>-2.844051361</v>
      </c>
      <c r="AE49" s="45">
        <v>0</v>
      </c>
      <c r="AF49" s="113">
        <v>0</v>
      </c>
      <c r="AG49" s="113">
        <v>9</v>
      </c>
      <c r="AH49" s="113">
        <v>17</v>
      </c>
      <c r="AI49" s="113">
        <v>21</v>
      </c>
      <c r="AJ49" s="113">
        <v>22</v>
      </c>
      <c r="AK49" s="113">
        <v>23</v>
      </c>
      <c r="AL49" s="113">
        <v>24</v>
      </c>
      <c r="AM49" s="113">
        <v>25</v>
      </c>
      <c r="AN49" s="113">
        <v>25</v>
      </c>
      <c r="AO49" s="113">
        <v>25</v>
      </c>
      <c r="AP49" s="113">
        <v>27</v>
      </c>
      <c r="AQ49" s="113">
        <v>27</v>
      </c>
      <c r="AR49" s="113">
        <v>29</v>
      </c>
      <c r="AS49" s="113">
        <v>31</v>
      </c>
      <c r="AT49" s="52">
        <v>32</v>
      </c>
      <c r="AU49" s="134">
        <v>9</v>
      </c>
      <c r="AV49" s="125">
        <v>32</v>
      </c>
      <c r="AW49" s="72">
        <v>17.8</v>
      </c>
      <c r="AX49">
        <v>17.8</v>
      </c>
      <c r="AY49" s="48">
        <f t="shared" si="1"/>
        <v>0</v>
      </c>
      <c r="AZ49">
        <v>-15</v>
      </c>
      <c r="BA49" s="72">
        <v>20</v>
      </c>
      <c r="BB49" s="143">
        <v>0.58525812600000005</v>
      </c>
      <c r="BC49" s="144">
        <v>353.39355469999998</v>
      </c>
      <c r="BD49" s="144">
        <v>-86.059570309999998</v>
      </c>
      <c r="BE49" s="144">
        <v>114.1317291</v>
      </c>
      <c r="BF49" s="41">
        <v>-49.041748046875</v>
      </c>
      <c r="BG49" s="41"/>
      <c r="BH49" s="39"/>
    </row>
    <row r="50" spans="1:60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G50" s="77" t="s">
        <v>47</v>
      </c>
      <c r="H50" t="s">
        <v>54</v>
      </c>
      <c r="J50" t="s">
        <v>50</v>
      </c>
      <c r="K50" s="41">
        <v>-57.936534881591697</v>
      </c>
      <c r="L50">
        <v>-63</v>
      </c>
      <c r="M50" s="41">
        <v>-41.290283203125</v>
      </c>
      <c r="N50">
        <v>64.697265625</v>
      </c>
      <c r="O50" s="22">
        <v>0</v>
      </c>
      <c r="P50" s="41">
        <v>0.82256743603197857</v>
      </c>
      <c r="Q50">
        <v>0.82170196467896128</v>
      </c>
      <c r="R50" s="41">
        <v>0.42055999999999999</v>
      </c>
      <c r="S50">
        <v>420.56</v>
      </c>
      <c r="T50" s="41">
        <v>6</v>
      </c>
      <c r="U50" s="72">
        <v>-52.6638374328613</v>
      </c>
      <c r="V50" s="72">
        <v>17.355894088745099</v>
      </c>
      <c r="W50" s="72">
        <f t="shared" si="5"/>
        <v>70.019731521606403</v>
      </c>
      <c r="X50" s="39">
        <v>1</v>
      </c>
      <c r="Y50" s="72">
        <v>-3.1471309660000002</v>
      </c>
      <c r="Z50">
        <v>-1.148229599</v>
      </c>
      <c r="AA50">
        <v>-0.248226166</v>
      </c>
      <c r="AB50" s="41">
        <v>-7.3744602199999996</v>
      </c>
      <c r="AC50">
        <v>-5.1314182280000002</v>
      </c>
      <c r="AD50">
        <v>-1.2068691250000001</v>
      </c>
      <c r="AE50" s="45">
        <v>0</v>
      </c>
      <c r="AF50" s="113">
        <v>0</v>
      </c>
      <c r="AG50" s="113">
        <v>0</v>
      </c>
      <c r="AH50" s="113">
        <v>4</v>
      </c>
      <c r="AI50" s="113">
        <v>11</v>
      </c>
      <c r="AJ50" s="113">
        <v>15</v>
      </c>
      <c r="AK50" s="113">
        <v>17</v>
      </c>
      <c r="AL50" s="113">
        <v>20</v>
      </c>
      <c r="AM50" s="113">
        <v>22</v>
      </c>
      <c r="AN50" s="113">
        <v>23</v>
      </c>
      <c r="AO50" s="113">
        <v>25</v>
      </c>
      <c r="AP50" s="113">
        <v>28</v>
      </c>
      <c r="AQ50" s="113">
        <v>31</v>
      </c>
      <c r="AR50" s="113">
        <v>33</v>
      </c>
      <c r="AS50" s="113">
        <v>36</v>
      </c>
      <c r="AT50" s="52">
        <v>38</v>
      </c>
      <c r="AU50" s="134">
        <v>4</v>
      </c>
      <c r="AV50" s="125">
        <v>38</v>
      </c>
      <c r="AW50" s="72">
        <v>27.8</v>
      </c>
      <c r="AX50">
        <v>29.4</v>
      </c>
      <c r="AY50" s="48">
        <f t="shared" si="1"/>
        <v>5.7553956834532294E-2</v>
      </c>
      <c r="AZ50">
        <v>-40</v>
      </c>
      <c r="BA50" s="72">
        <v>-20</v>
      </c>
      <c r="BB50" s="143">
        <v>0.75592106599999997</v>
      </c>
      <c r="BC50" s="144">
        <v>295.41015629999998</v>
      </c>
      <c r="BD50" s="144">
        <v>-77.514648440000002</v>
      </c>
      <c r="BE50" s="144">
        <v>113.9374619</v>
      </c>
      <c r="BF50" s="41">
        <v>-39.337158203125</v>
      </c>
      <c r="BG50" s="41"/>
      <c r="BH50" s="39"/>
    </row>
    <row r="51" spans="1:60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G51" s="77" t="s">
        <v>47</v>
      </c>
      <c r="H51" t="s">
        <v>54</v>
      </c>
      <c r="I51" t="s">
        <v>130</v>
      </c>
      <c r="J51" t="s">
        <v>50</v>
      </c>
      <c r="K51" s="41">
        <v>-61.701087951660099</v>
      </c>
      <c r="L51">
        <v>-60</v>
      </c>
      <c r="M51" s="41">
        <v>-38.57421875</v>
      </c>
      <c r="N51">
        <v>123.291015625</v>
      </c>
      <c r="O51" s="22">
        <v>0</v>
      </c>
      <c r="P51" s="41">
        <v>0.86544383403066627</v>
      </c>
      <c r="Q51">
        <v>0.86029648501857636</v>
      </c>
      <c r="R51" s="41">
        <v>0.15557000000000001</v>
      </c>
      <c r="S51">
        <v>155.57000000000002</v>
      </c>
      <c r="T51" s="41">
        <v>5</v>
      </c>
      <c r="U51" s="72">
        <v>-30.9283943176269</v>
      </c>
      <c r="V51" s="72">
        <v>372.87786865234301</v>
      </c>
      <c r="W51" s="72">
        <f t="shared" si="5"/>
        <v>403.80626296996991</v>
      </c>
      <c r="X51" s="39">
        <v>1</v>
      </c>
      <c r="Y51" s="72">
        <v>-2.693883896</v>
      </c>
      <c r="Z51">
        <v>-0.496618271</v>
      </c>
      <c r="AA51">
        <v>-0.653202057</v>
      </c>
      <c r="AB51" s="41">
        <v>-6.2383728029999999</v>
      </c>
      <c r="AC51">
        <v>-1.508148193</v>
      </c>
      <c r="AD51">
        <v>0.20566749600000001</v>
      </c>
      <c r="AE51" s="45">
        <v>0</v>
      </c>
      <c r="AF51" s="113">
        <v>0</v>
      </c>
      <c r="AG51" s="113">
        <v>0</v>
      </c>
      <c r="AH51" s="113">
        <v>0</v>
      </c>
      <c r="AI51" s="113">
        <v>14</v>
      </c>
      <c r="AJ51" s="113">
        <v>24</v>
      </c>
      <c r="AK51" s="113">
        <v>30</v>
      </c>
      <c r="AL51" s="113">
        <v>34</v>
      </c>
      <c r="AM51" s="113">
        <v>36</v>
      </c>
      <c r="AN51" s="113">
        <v>38</v>
      </c>
      <c r="AO51" s="113">
        <v>40</v>
      </c>
      <c r="AP51" s="113">
        <v>43</v>
      </c>
      <c r="AQ51" s="113">
        <v>48</v>
      </c>
      <c r="AR51" s="113">
        <v>55</v>
      </c>
      <c r="AS51" s="113">
        <v>65</v>
      </c>
      <c r="AT51" s="52">
        <v>62</v>
      </c>
      <c r="AU51" s="134">
        <v>14</v>
      </c>
      <c r="AV51" s="125">
        <v>65</v>
      </c>
      <c r="AW51" s="72">
        <v>22</v>
      </c>
      <c r="AX51">
        <v>22</v>
      </c>
      <c r="AY51" s="48">
        <f t="shared" si="1"/>
        <v>0</v>
      </c>
      <c r="AZ51">
        <v>-25</v>
      </c>
      <c r="BA51" s="72">
        <v>-60</v>
      </c>
      <c r="BB51" s="143">
        <v>0.40602168399999999</v>
      </c>
      <c r="BC51" s="144">
        <v>476.07421879999998</v>
      </c>
      <c r="BD51" s="144">
        <v>-111.08398440000001</v>
      </c>
      <c r="BE51" s="144">
        <v>115.04709630000001</v>
      </c>
      <c r="BF51" s="41">
        <v>-47.54638671875</v>
      </c>
      <c r="BG51" s="41"/>
      <c r="BH51" s="39"/>
    </row>
    <row r="52" spans="1:60">
      <c r="A52" s="2">
        <v>46009</v>
      </c>
      <c r="B52" t="s">
        <v>44</v>
      </c>
      <c r="C52">
        <v>63556</v>
      </c>
      <c r="D52" s="58">
        <v>1571</v>
      </c>
      <c r="E52" t="s">
        <v>120</v>
      </c>
      <c r="F52" t="s">
        <v>46</v>
      </c>
      <c r="G52" s="82" t="s">
        <v>47</v>
      </c>
      <c r="H52" t="s">
        <v>54</v>
      </c>
      <c r="J52" t="s">
        <v>128</v>
      </c>
      <c r="K52" s="41">
        <v>-52.3719482421875</v>
      </c>
      <c r="L52">
        <v>-50</v>
      </c>
      <c r="M52" s="41">
        <v>-56.33544921875</v>
      </c>
      <c r="N52">
        <v>48.2177734375</v>
      </c>
      <c r="O52" s="22">
        <v>2</v>
      </c>
      <c r="P52" s="41">
        <v>0.81997144452564863</v>
      </c>
      <c r="Q52">
        <v>0.86889953485173588</v>
      </c>
      <c r="R52" s="41">
        <v>0.11781999999999999</v>
      </c>
      <c r="S52">
        <v>117.82</v>
      </c>
      <c r="T52" s="41">
        <v>2</v>
      </c>
      <c r="U52" s="72">
        <v>-179.707427978515</v>
      </c>
      <c r="V52" s="72">
        <v>-52.944084167480398</v>
      </c>
      <c r="W52" s="72">
        <f t="shared" si="5"/>
        <v>126.7633438110346</v>
      </c>
      <c r="X52" s="39">
        <v>1</v>
      </c>
      <c r="Y52" s="72">
        <v>-5.7951259610000001</v>
      </c>
      <c r="Z52">
        <v>-2.1177577969999999</v>
      </c>
      <c r="AA52">
        <v>-2.4580936430000002</v>
      </c>
      <c r="AB52" s="41">
        <v>-3.6308155059999998</v>
      </c>
      <c r="AC52">
        <v>-2.4101123809999998</v>
      </c>
      <c r="AD52">
        <v>-1.3999233250000001</v>
      </c>
      <c r="AE52" s="45">
        <v>0</v>
      </c>
      <c r="AF52" s="113">
        <v>2</v>
      </c>
      <c r="AG52" s="113">
        <v>9</v>
      </c>
      <c r="AH52" s="113">
        <v>11</v>
      </c>
      <c r="AI52" s="113">
        <v>14</v>
      </c>
      <c r="AJ52" s="113">
        <v>13</v>
      </c>
      <c r="AK52" s="113">
        <v>4</v>
      </c>
      <c r="AL52" s="113">
        <v>1</v>
      </c>
      <c r="AM52" s="113">
        <v>1</v>
      </c>
      <c r="AN52" s="113">
        <v>1</v>
      </c>
      <c r="AO52" s="113">
        <v>1</v>
      </c>
      <c r="AP52" s="113">
        <v>1</v>
      </c>
      <c r="AQ52" s="113">
        <v>1</v>
      </c>
      <c r="AR52" s="113">
        <v>1</v>
      </c>
      <c r="AS52" s="113">
        <v>1</v>
      </c>
      <c r="AT52" s="52">
        <v>1</v>
      </c>
      <c r="AU52" s="134">
        <v>2</v>
      </c>
      <c r="AV52" s="125">
        <v>14</v>
      </c>
      <c r="AW52" s="72">
        <v>31</v>
      </c>
      <c r="AX52">
        <v>31</v>
      </c>
      <c r="AY52" s="48">
        <f t="shared" si="1"/>
        <v>0</v>
      </c>
      <c r="AZ52">
        <v>-125</v>
      </c>
      <c r="BA52" s="72">
        <v>-75</v>
      </c>
      <c r="BB52" s="143">
        <v>1.0071790220000001</v>
      </c>
      <c r="BC52" s="144">
        <v>257.56835940000002</v>
      </c>
      <c r="BD52" s="144">
        <v>-51.26953125</v>
      </c>
      <c r="BE52" s="144">
        <v>102.36450960000001</v>
      </c>
      <c r="BF52" s="148">
        <v>-57.18994140625</v>
      </c>
      <c r="BG52" s="148" t="s">
        <v>70</v>
      </c>
      <c r="BH52" s="147" t="s">
        <v>75</v>
      </c>
    </row>
    <row r="53" spans="1:60">
      <c r="A53" s="2">
        <v>46009</v>
      </c>
      <c r="B53" t="s">
        <v>44</v>
      </c>
      <c r="C53">
        <v>63557</v>
      </c>
      <c r="D53">
        <v>1572</v>
      </c>
      <c r="E53" t="s">
        <v>131</v>
      </c>
      <c r="F53" t="s">
        <v>46</v>
      </c>
      <c r="G53" s="77" t="s">
        <v>47</v>
      </c>
      <c r="H53" t="s">
        <v>48</v>
      </c>
      <c r="I53" t="s">
        <v>132</v>
      </c>
      <c r="J53" t="s">
        <v>50</v>
      </c>
      <c r="K53" s="41">
        <v>-63.303707122802699</v>
      </c>
      <c r="L53">
        <v>-60</v>
      </c>
      <c r="M53" s="41">
        <v>-40.71044921875</v>
      </c>
      <c r="N53">
        <v>226.4404296875</v>
      </c>
      <c r="O53" s="22">
        <v>2</v>
      </c>
      <c r="P53" s="41">
        <v>0.86465280809904377</v>
      </c>
      <c r="Q53">
        <v>0.85697327181295269</v>
      </c>
      <c r="R53" s="41">
        <v>0.10051</v>
      </c>
      <c r="S53">
        <v>100.51</v>
      </c>
      <c r="T53" s="41">
        <v>4</v>
      </c>
      <c r="U53" s="72">
        <v>-154.65432739257801</v>
      </c>
      <c r="V53" s="72">
        <v>426.69833374023398</v>
      </c>
      <c r="W53" s="72">
        <f t="shared" si="5"/>
        <v>581.35266113281205</v>
      </c>
      <c r="X53" s="39">
        <v>1</v>
      </c>
      <c r="Y53" s="72">
        <v>-1.6759147640000001</v>
      </c>
      <c r="Z53">
        <v>-0.82142257699999999</v>
      </c>
      <c r="AA53">
        <v>-0.18405342099999999</v>
      </c>
      <c r="AB53" s="41">
        <v>-1.8177680970000001</v>
      </c>
      <c r="AC53">
        <v>-1.1463813780000001</v>
      </c>
      <c r="AD53">
        <v>-0.30620575</v>
      </c>
      <c r="AE53" s="45">
        <v>0</v>
      </c>
      <c r="AF53" s="113">
        <v>0</v>
      </c>
      <c r="AG53" s="113">
        <v>0</v>
      </c>
      <c r="AH53" s="113">
        <v>0</v>
      </c>
      <c r="AI53" s="113">
        <v>0</v>
      </c>
      <c r="AJ53" s="113">
        <v>2</v>
      </c>
      <c r="AK53" s="113">
        <v>5</v>
      </c>
      <c r="AL53" s="113">
        <v>9</v>
      </c>
      <c r="AM53" s="113">
        <v>13</v>
      </c>
      <c r="AN53" s="113">
        <v>15</v>
      </c>
      <c r="AO53" s="113">
        <v>16</v>
      </c>
      <c r="AP53" s="113">
        <v>20</v>
      </c>
      <c r="AQ53" s="113">
        <v>19</v>
      </c>
      <c r="AR53" s="113">
        <v>18</v>
      </c>
      <c r="AS53" s="113">
        <v>17</v>
      </c>
      <c r="AT53" s="52">
        <v>13</v>
      </c>
      <c r="AU53" s="134">
        <v>2</v>
      </c>
      <c r="AV53" s="125">
        <v>20</v>
      </c>
      <c r="AW53" s="72">
        <v>12</v>
      </c>
      <c r="AX53">
        <v>35</v>
      </c>
      <c r="AY53" s="48">
        <f t="shared" si="1"/>
        <v>1.9166666666666667</v>
      </c>
      <c r="AZ53">
        <v>-25</v>
      </c>
      <c r="BA53" s="72">
        <v>-75</v>
      </c>
      <c r="BB53" s="143">
        <v>0.45867934799999999</v>
      </c>
      <c r="BC53" s="144">
        <v>365.6005859</v>
      </c>
      <c r="BD53" s="144">
        <v>-109.8632813</v>
      </c>
      <c r="BE53" s="144">
        <v>104.05161289999999</v>
      </c>
      <c r="BF53" s="41">
        <v>-43.426513671875</v>
      </c>
      <c r="BG53" s="41"/>
      <c r="BH53" s="39"/>
    </row>
    <row r="54" spans="1:60">
      <c r="A54" s="2">
        <v>46010</v>
      </c>
      <c r="B54" t="s">
        <v>69</v>
      </c>
      <c r="C54">
        <v>63547</v>
      </c>
      <c r="D54">
        <v>1573</v>
      </c>
      <c r="E54" t="s">
        <v>133</v>
      </c>
      <c r="F54" t="s">
        <v>65</v>
      </c>
      <c r="G54" s="77" t="s">
        <v>47</v>
      </c>
      <c r="H54" t="s">
        <v>48</v>
      </c>
      <c r="I54" t="s">
        <v>134</v>
      </c>
      <c r="J54" t="s">
        <v>50</v>
      </c>
      <c r="K54" s="41">
        <v>-50.831607818603501</v>
      </c>
      <c r="L54">
        <v>-60</v>
      </c>
      <c r="M54" s="41">
        <v>-25.421142578125</v>
      </c>
      <c r="N54">
        <v>170.2880859375</v>
      </c>
      <c r="O54" s="22">
        <v>1</v>
      </c>
      <c r="P54" s="41">
        <v>0.85087808455599467</v>
      </c>
      <c r="Q54">
        <v>0.94473628683552158</v>
      </c>
      <c r="R54" s="41">
        <v>0.21404000000000001</v>
      </c>
      <c r="S54">
        <v>214.04000000000002</v>
      </c>
      <c r="T54" s="41">
        <v>10</v>
      </c>
      <c r="U54" s="72">
        <v>-38.073520660400298</v>
      </c>
      <c r="V54" s="72">
        <v>599.208740234375</v>
      </c>
      <c r="W54" s="72">
        <f t="shared" si="5"/>
        <v>637.28226089477528</v>
      </c>
      <c r="X54" s="39">
        <v>1</v>
      </c>
      <c r="Y54" s="72">
        <v>-3.1041584009999998</v>
      </c>
      <c r="Z54">
        <v>-1.2578449249999999</v>
      </c>
      <c r="AA54">
        <v>-0.55830001799999995</v>
      </c>
      <c r="AB54" s="41"/>
      <c r="AE54" s="45">
        <v>0</v>
      </c>
      <c r="AF54" s="113">
        <v>0</v>
      </c>
      <c r="AG54" s="113">
        <v>0</v>
      </c>
      <c r="AH54" s="113">
        <v>0</v>
      </c>
      <c r="AI54" s="113">
        <v>1</v>
      </c>
      <c r="AJ54" s="113">
        <v>2</v>
      </c>
      <c r="AK54" s="113">
        <v>1</v>
      </c>
      <c r="AL54" s="113">
        <v>2</v>
      </c>
      <c r="AM54" s="113">
        <v>2</v>
      </c>
      <c r="AN54" s="113">
        <v>2</v>
      </c>
      <c r="AO54" s="113">
        <v>1</v>
      </c>
      <c r="AP54" s="113">
        <v>1</v>
      </c>
      <c r="AQ54" s="113">
        <v>1</v>
      </c>
      <c r="AR54" s="113">
        <v>1</v>
      </c>
      <c r="AS54" s="113">
        <v>1</v>
      </c>
      <c r="AT54" s="52">
        <v>1</v>
      </c>
      <c r="AU54" s="134">
        <v>1</v>
      </c>
      <c r="AV54" s="125">
        <v>2</v>
      </c>
      <c r="AW54" s="72">
        <v>18</v>
      </c>
      <c r="AX54">
        <v>18.8</v>
      </c>
      <c r="AY54" s="48">
        <f t="shared" si="1"/>
        <v>4.4444444444444481E-2</v>
      </c>
      <c r="AZ54">
        <v>-60</v>
      </c>
      <c r="BA54" s="72">
        <v>-40</v>
      </c>
      <c r="BB54" s="143">
        <v>0.79215604100000003</v>
      </c>
      <c r="BC54" s="144">
        <v>304.56542969999998</v>
      </c>
      <c r="BD54" s="144">
        <v>-73.2421875</v>
      </c>
      <c r="BE54" s="144">
        <v>110.92304609999999</v>
      </c>
      <c r="BF54" s="41">
        <v>-37.078857421875</v>
      </c>
      <c r="BG54" s="41"/>
      <c r="BH54" s="39"/>
    </row>
    <row r="55" spans="1:60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G55" s="77" t="s">
        <v>47</v>
      </c>
      <c r="H55" t="s">
        <v>54</v>
      </c>
      <c r="I55" t="s">
        <v>135</v>
      </c>
      <c r="J55" t="s">
        <v>50</v>
      </c>
      <c r="K55" s="41">
        <v>-65.034881591796804</v>
      </c>
      <c r="L55">
        <v>-73</v>
      </c>
      <c r="M55" s="41">
        <v>-41.93115234375</v>
      </c>
      <c r="N55">
        <v>175.78125</v>
      </c>
      <c r="O55" s="22">
        <v>6</v>
      </c>
      <c r="P55" s="41">
        <v>0.88279535212951599</v>
      </c>
      <c r="Q55">
        <v>0.88342349055866876</v>
      </c>
      <c r="R55" s="41">
        <v>0.12021999999999999</v>
      </c>
      <c r="S55">
        <v>120.22</v>
      </c>
      <c r="T55" s="41">
        <v>5</v>
      </c>
      <c r="U55" s="72">
        <v>30.323381423950099</v>
      </c>
      <c r="V55" s="72">
        <v>744.12811279296795</v>
      </c>
      <c r="W55" s="72">
        <f t="shared" si="5"/>
        <v>713.80473136901787</v>
      </c>
      <c r="X55" s="39">
        <v>1</v>
      </c>
      <c r="Y55" s="72">
        <v>-1.7913837429999999</v>
      </c>
      <c r="Z55">
        <v>-0.14343452500000001</v>
      </c>
      <c r="AA55">
        <v>0.25945854200000001</v>
      </c>
      <c r="AB55" s="41">
        <v>-5.5927295680000002</v>
      </c>
      <c r="AC55">
        <v>-2.891923904</v>
      </c>
      <c r="AD55">
        <v>-0.91124534599999996</v>
      </c>
      <c r="AE55" s="45">
        <v>0</v>
      </c>
      <c r="AF55" s="113">
        <v>0</v>
      </c>
      <c r="AG55" s="113">
        <v>0</v>
      </c>
      <c r="AH55" s="113">
        <v>0</v>
      </c>
      <c r="AI55" s="113">
        <v>6</v>
      </c>
      <c r="AJ55" s="113">
        <v>10</v>
      </c>
      <c r="AK55" s="113">
        <v>13</v>
      </c>
      <c r="AL55" s="113">
        <v>16</v>
      </c>
      <c r="AM55" s="113">
        <v>17</v>
      </c>
      <c r="AN55" s="113">
        <v>20</v>
      </c>
      <c r="AO55" s="113">
        <v>21</v>
      </c>
      <c r="AP55" s="113">
        <v>23</v>
      </c>
      <c r="AQ55" s="113">
        <v>18</v>
      </c>
      <c r="AR55" s="113">
        <v>19</v>
      </c>
      <c r="AS55" s="113">
        <v>18</v>
      </c>
      <c r="AT55" s="52">
        <v>16</v>
      </c>
      <c r="AU55" s="134">
        <v>6</v>
      </c>
      <c r="AV55" s="125">
        <v>23</v>
      </c>
      <c r="AW55" s="72">
        <v>12</v>
      </c>
      <c r="AX55">
        <v>13.6</v>
      </c>
      <c r="AY55" s="48">
        <f t="shared" si="1"/>
        <v>0.1333333333333333</v>
      </c>
      <c r="AZ55">
        <v>-10</v>
      </c>
      <c r="BA55" s="72">
        <v>55</v>
      </c>
      <c r="BB55" s="143">
        <v>0.74344289299999999</v>
      </c>
      <c r="BC55" s="144">
        <v>388.79394530000002</v>
      </c>
      <c r="BD55" s="144">
        <v>-77.514648440000002</v>
      </c>
      <c r="BE55" s="144">
        <v>122.95621490000001</v>
      </c>
      <c r="BF55" s="41">
        <v>-49.041748046875</v>
      </c>
      <c r="BG55" s="41"/>
      <c r="BH55" s="39"/>
    </row>
    <row r="56" spans="1:60">
      <c r="A56" s="2">
        <v>46010</v>
      </c>
      <c r="B56" t="s">
        <v>90</v>
      </c>
      <c r="C56">
        <v>63548</v>
      </c>
      <c r="D56" s="58">
        <v>1575</v>
      </c>
      <c r="E56" t="s">
        <v>87</v>
      </c>
      <c r="F56" t="s">
        <v>65</v>
      </c>
      <c r="G56" s="82" t="s">
        <v>47</v>
      </c>
      <c r="H56" t="s">
        <v>54</v>
      </c>
      <c r="I56" t="s">
        <v>136</v>
      </c>
      <c r="J56" t="s">
        <v>50</v>
      </c>
      <c r="K56" s="42"/>
      <c r="L56">
        <v>-64</v>
      </c>
      <c r="M56" s="41">
        <v>-33.75244140625</v>
      </c>
      <c r="N56">
        <v>230.712890625</v>
      </c>
      <c r="O56" s="22">
        <v>0</v>
      </c>
      <c r="P56" s="41">
        <v>0.91585539741540156</v>
      </c>
      <c r="Q56">
        <v>0.9372765858678147</v>
      </c>
      <c r="R56" s="41">
        <v>0.11405999999999999</v>
      </c>
      <c r="S56">
        <v>114.05999999999999</v>
      </c>
      <c r="T56" s="41">
        <v>4</v>
      </c>
      <c r="U56" s="72">
        <v>-25.495334625244102</v>
      </c>
      <c r="V56" s="72">
        <v>873.06878662109295</v>
      </c>
      <c r="W56" s="72">
        <f t="shared" si="5"/>
        <v>898.56412124633709</v>
      </c>
      <c r="X56" s="39">
        <v>1</v>
      </c>
      <c r="Y56" s="72">
        <v>5.3186417E-2</v>
      </c>
      <c r="Z56">
        <v>0.23629188500000001</v>
      </c>
      <c r="AA56">
        <v>-0.112415314</v>
      </c>
      <c r="AB56" s="41">
        <v>-1.1823902129999999</v>
      </c>
      <c r="AC56">
        <v>-0.48048591600000001</v>
      </c>
      <c r="AD56">
        <v>-0.77367210399999997</v>
      </c>
      <c r="AE56" s="45">
        <v>0</v>
      </c>
      <c r="AF56" s="113">
        <v>0</v>
      </c>
      <c r="AG56" s="113">
        <v>0</v>
      </c>
      <c r="AH56" s="113">
        <v>0</v>
      </c>
      <c r="AI56" s="113">
        <v>0</v>
      </c>
      <c r="AJ56" s="113">
        <v>0</v>
      </c>
      <c r="AK56" s="113">
        <v>2</v>
      </c>
      <c r="AL56" s="113">
        <v>4</v>
      </c>
      <c r="AM56" s="113">
        <v>7</v>
      </c>
      <c r="AN56" s="113">
        <v>7</v>
      </c>
      <c r="AO56" s="113">
        <v>10</v>
      </c>
      <c r="AP56" s="113">
        <v>9</v>
      </c>
      <c r="AQ56" s="113">
        <v>12</v>
      </c>
      <c r="AR56" s="113">
        <v>11</v>
      </c>
      <c r="AS56" s="113">
        <v>11</v>
      </c>
      <c r="AT56" s="52">
        <v>10</v>
      </c>
      <c r="AU56" s="134">
        <v>2</v>
      </c>
      <c r="AV56" s="125">
        <v>12</v>
      </c>
      <c r="AW56" s="72" t="s">
        <v>137</v>
      </c>
      <c r="AX56">
        <v>20</v>
      </c>
      <c r="AY56" s="48"/>
      <c r="AZ56">
        <v>-20</v>
      </c>
      <c r="BA56" s="72">
        <v>-35</v>
      </c>
      <c r="BB56" s="143">
        <v>0.52931624700000002</v>
      </c>
      <c r="BC56" s="144">
        <v>361.328125</v>
      </c>
      <c r="BD56" s="144">
        <v>-115.96679690000001</v>
      </c>
      <c r="BE56" s="144">
        <v>115.1441803</v>
      </c>
      <c r="BF56" s="148">
        <v>-41.839599609375</v>
      </c>
      <c r="BG56" s="148" t="s">
        <v>70</v>
      </c>
      <c r="BH56" s="147" t="s">
        <v>75</v>
      </c>
    </row>
    <row r="57" spans="1:60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G57" s="77" t="s">
        <v>47</v>
      </c>
      <c r="H57" t="s">
        <v>54</v>
      </c>
      <c r="I57" t="s">
        <v>138</v>
      </c>
      <c r="J57" t="s">
        <v>50</v>
      </c>
      <c r="K57" s="41">
        <v>-51.618473052978501</v>
      </c>
      <c r="L57">
        <v>-58</v>
      </c>
      <c r="M57" s="41">
        <v>-47.943115234375</v>
      </c>
      <c r="N57">
        <v>66.5283203125</v>
      </c>
      <c r="O57" s="22">
        <v>14</v>
      </c>
      <c r="P57" s="41">
        <v>0.84413825615420057</v>
      </c>
      <c r="Q57">
        <v>0.89307108943046631</v>
      </c>
      <c r="R57" s="41">
        <v>0.15125</v>
      </c>
      <c r="S57">
        <v>151.25</v>
      </c>
      <c r="T57" s="41">
        <v>8</v>
      </c>
      <c r="U57" s="72">
        <v>-33.090023040771399</v>
      </c>
      <c r="V57" s="72">
        <v>451.08111572265602</v>
      </c>
      <c r="W57" s="72">
        <f t="shared" si="5"/>
        <v>484.17113876342739</v>
      </c>
      <c r="X57" s="39">
        <v>1</v>
      </c>
      <c r="Y57" s="72">
        <v>-3.9610538480000002</v>
      </c>
      <c r="Z57">
        <v>9.7784042000000002E-2</v>
      </c>
      <c r="AA57">
        <v>7.0499419999999993E-2</v>
      </c>
      <c r="AB57" s="41">
        <v>-8.8684444429999996</v>
      </c>
      <c r="AC57">
        <v>-1.574743271</v>
      </c>
      <c r="AD57">
        <v>6.2568664999999996E-2</v>
      </c>
      <c r="AE57" s="45">
        <v>0</v>
      </c>
      <c r="AF57" s="113">
        <v>0</v>
      </c>
      <c r="AG57" s="113">
        <v>14</v>
      </c>
      <c r="AH57" s="113">
        <v>22</v>
      </c>
      <c r="AI57" s="113">
        <v>28</v>
      </c>
      <c r="AJ57" s="113">
        <v>32</v>
      </c>
      <c r="AK57" s="113">
        <v>35</v>
      </c>
      <c r="AL57" s="113">
        <v>38</v>
      </c>
      <c r="AM57" s="113">
        <v>40</v>
      </c>
      <c r="AN57" s="113">
        <v>38</v>
      </c>
      <c r="AO57" s="113">
        <v>34</v>
      </c>
      <c r="AP57" s="113">
        <v>1</v>
      </c>
      <c r="AQ57" s="113">
        <v>1</v>
      </c>
      <c r="AR57" s="113">
        <v>1</v>
      </c>
      <c r="AS57" s="113">
        <v>1</v>
      </c>
      <c r="AT57" s="52">
        <v>1</v>
      </c>
      <c r="AU57" s="134">
        <v>14</v>
      </c>
      <c r="AV57" s="125">
        <v>40</v>
      </c>
      <c r="AW57" s="72">
        <v>22.7</v>
      </c>
      <c r="AX57">
        <v>25.3</v>
      </c>
      <c r="AY57" s="48">
        <f t="shared" si="1"/>
        <v>0.11453744493392078</v>
      </c>
      <c r="AZ57">
        <v>-50</v>
      </c>
      <c r="BA57" s="72">
        <v>-20</v>
      </c>
      <c r="BB57" s="143">
        <v>0.51050871600000003</v>
      </c>
      <c r="BC57" s="144">
        <v>34.790039059999998</v>
      </c>
      <c r="BD57" s="144">
        <v>-29.296875</v>
      </c>
      <c r="BE57" s="144">
        <v>75.434608460000007</v>
      </c>
      <c r="BF57" s="41">
        <v>-25.482177734375</v>
      </c>
      <c r="BG57" s="41"/>
      <c r="BH57" s="39"/>
    </row>
    <row r="58" spans="1:60">
      <c r="A58" s="2">
        <v>46010</v>
      </c>
      <c r="B58" t="s">
        <v>90</v>
      </c>
      <c r="C58">
        <v>63548</v>
      </c>
      <c r="D58">
        <v>1577</v>
      </c>
      <c r="E58" t="s">
        <v>110</v>
      </c>
      <c r="F58" t="s">
        <v>65</v>
      </c>
      <c r="G58" t="s">
        <v>47</v>
      </c>
      <c r="H58" t="s">
        <v>54</v>
      </c>
      <c r="I58" t="s">
        <v>139</v>
      </c>
      <c r="J58" t="s">
        <v>50</v>
      </c>
      <c r="K58" s="43">
        <v>-58.5993041992187</v>
      </c>
      <c r="L58" s="30">
        <v>-61</v>
      </c>
      <c r="M58" s="43">
        <v>-34.85107421875</v>
      </c>
      <c r="N58" s="30">
        <v>95.21484375</v>
      </c>
      <c r="O58" s="22">
        <v>4</v>
      </c>
      <c r="P58" s="43">
        <v>0.82661004332558718</v>
      </c>
      <c r="Q58" s="30">
        <v>0.87113476176377513</v>
      </c>
      <c r="R58" s="43">
        <v>0.20818</v>
      </c>
      <c r="S58" s="30">
        <v>208.18</v>
      </c>
      <c r="T58" s="41">
        <v>2</v>
      </c>
      <c r="U58" s="72">
        <v>-30.374639511108299</v>
      </c>
      <c r="V58" s="72">
        <v>405.96203613281199</v>
      </c>
      <c r="W58" s="72">
        <f t="shared" si="5"/>
        <v>436.33667564392027</v>
      </c>
      <c r="X58" s="39">
        <v>1</v>
      </c>
      <c r="Y58" s="30">
        <v>-2.1059684750000001</v>
      </c>
      <c r="Z58" s="30">
        <v>-0.122325897</v>
      </c>
      <c r="AA58" s="30">
        <v>0.409599304</v>
      </c>
      <c r="AB58" s="43">
        <v>-3.7340068820000001</v>
      </c>
      <c r="AC58" s="30">
        <v>-1.658811569</v>
      </c>
      <c r="AD58" s="30">
        <v>-0.28087997399999998</v>
      </c>
      <c r="AE58" s="45">
        <v>0</v>
      </c>
      <c r="AF58" s="113">
        <v>0</v>
      </c>
      <c r="AG58" s="113">
        <v>4</v>
      </c>
      <c r="AH58" s="113">
        <v>15</v>
      </c>
      <c r="AI58" s="113">
        <v>26</v>
      </c>
      <c r="AJ58" s="113">
        <v>32</v>
      </c>
      <c r="AK58" s="113">
        <v>39</v>
      </c>
      <c r="AL58" s="113">
        <v>43</v>
      </c>
      <c r="AM58" s="113">
        <v>46</v>
      </c>
      <c r="AN58" s="113">
        <v>49</v>
      </c>
      <c r="AO58" s="113">
        <v>53</v>
      </c>
      <c r="AP58" s="113">
        <v>60</v>
      </c>
      <c r="AQ58" s="113">
        <v>70</v>
      </c>
      <c r="AR58" s="113">
        <v>61</v>
      </c>
      <c r="AS58" s="113">
        <v>60</v>
      </c>
      <c r="AT58" s="52">
        <v>52</v>
      </c>
      <c r="AU58" s="134">
        <v>4</v>
      </c>
      <c r="AV58" s="125">
        <v>70</v>
      </c>
      <c r="AW58" s="30">
        <v>18</v>
      </c>
      <c r="AX58" s="30">
        <v>18</v>
      </c>
      <c r="AY58" s="49">
        <f t="shared" si="1"/>
        <v>0</v>
      </c>
      <c r="AZ58" s="30">
        <v>-20</v>
      </c>
      <c r="BA58" s="30">
        <v>-25</v>
      </c>
      <c r="BB58" s="143">
        <v>0.35512819899999998</v>
      </c>
      <c r="BC58" s="144">
        <v>431.51855469999998</v>
      </c>
      <c r="BD58" s="144">
        <v>-130.61523439999999</v>
      </c>
      <c r="BE58" s="144">
        <v>107.7017975</v>
      </c>
      <c r="BF58" s="41">
        <v>-38.9404296875</v>
      </c>
      <c r="BG58" s="41"/>
      <c r="BH58" s="39"/>
    </row>
    <row r="59" spans="1:60">
      <c r="A59" s="2">
        <v>46028</v>
      </c>
      <c r="B59" t="s">
        <v>44</v>
      </c>
      <c r="C59">
        <v>64063</v>
      </c>
      <c r="D59">
        <v>1578</v>
      </c>
      <c r="E59" t="s">
        <v>140</v>
      </c>
      <c r="F59" t="s">
        <v>46</v>
      </c>
      <c r="G59" t="s">
        <v>47</v>
      </c>
      <c r="H59" t="s">
        <v>48</v>
      </c>
      <c r="I59" t="s">
        <v>141</v>
      </c>
      <c r="J59" t="s">
        <v>50</v>
      </c>
      <c r="O59" s="78">
        <v>3</v>
      </c>
      <c r="T59" s="104">
        <v>3</v>
      </c>
      <c r="U59" s="72">
        <v>-25.97922325</v>
      </c>
      <c r="V59" s="72">
        <v>428.79544069999997</v>
      </c>
      <c r="W59" s="72">
        <f>V59-U59</f>
        <v>454.77466394999999</v>
      </c>
      <c r="X59" s="105">
        <v>1</v>
      </c>
      <c r="AE59" s="118">
        <v>0</v>
      </c>
      <c r="AF59" s="119">
        <v>0</v>
      </c>
      <c r="AG59" s="119">
        <v>0</v>
      </c>
      <c r="AH59" s="119">
        <v>3</v>
      </c>
      <c r="AI59" s="119">
        <v>6</v>
      </c>
      <c r="AJ59" s="119">
        <v>7</v>
      </c>
      <c r="AK59" s="119">
        <v>7</v>
      </c>
      <c r="AL59" s="119">
        <v>10</v>
      </c>
      <c r="AM59" s="119">
        <v>13</v>
      </c>
      <c r="AN59" s="119">
        <v>9</v>
      </c>
      <c r="AO59" s="119">
        <v>8</v>
      </c>
      <c r="AP59" s="119">
        <v>9</v>
      </c>
      <c r="AQ59" s="119">
        <v>8</v>
      </c>
      <c r="AR59" s="119">
        <v>7</v>
      </c>
      <c r="AS59" s="119">
        <v>6</v>
      </c>
      <c r="AT59" s="131">
        <v>2</v>
      </c>
      <c r="AU59" s="134">
        <v>3</v>
      </c>
      <c r="AV59" s="126">
        <v>13</v>
      </c>
      <c r="BB59" s="104">
        <v>0.44823800000000003</v>
      </c>
      <c r="BC59" s="83">
        <v>564.5752</v>
      </c>
      <c r="BD59" s="83">
        <v>-115.35599999999999</v>
      </c>
      <c r="BE59" s="83">
        <v>119.03919999999999</v>
      </c>
      <c r="BF59" s="41">
        <v>-45.654296879999997</v>
      </c>
      <c r="BG59" s="41"/>
      <c r="BH59" s="39"/>
    </row>
    <row r="60" spans="1:60">
      <c r="A60" s="2">
        <v>46028</v>
      </c>
      <c r="B60" t="s">
        <v>44</v>
      </c>
      <c r="C60">
        <v>64063</v>
      </c>
      <c r="D60">
        <v>1579</v>
      </c>
      <c r="E60" t="s">
        <v>142</v>
      </c>
      <c r="F60" t="s">
        <v>46</v>
      </c>
      <c r="G60" t="s">
        <v>47</v>
      </c>
      <c r="H60" t="s">
        <v>48</v>
      </c>
      <c r="I60" t="s">
        <v>143</v>
      </c>
      <c r="J60" t="s">
        <v>50</v>
      </c>
      <c r="O60" s="78">
        <v>10</v>
      </c>
      <c r="T60" s="104">
        <v>4</v>
      </c>
      <c r="U60" s="72">
        <v>-16.152120589999999</v>
      </c>
      <c r="V60" s="72">
        <v>767.24322510000002</v>
      </c>
      <c r="W60" s="72">
        <f t="shared" ref="W60:W123" si="6">V60-U60</f>
        <v>783.39534569</v>
      </c>
      <c r="X60" s="105">
        <v>1</v>
      </c>
      <c r="AE60" s="118">
        <v>0</v>
      </c>
      <c r="AF60" s="119">
        <v>0</v>
      </c>
      <c r="AG60" s="119">
        <v>0</v>
      </c>
      <c r="AH60" s="119">
        <v>3</v>
      </c>
      <c r="AI60" s="119">
        <v>10</v>
      </c>
      <c r="AJ60" s="119">
        <v>15</v>
      </c>
      <c r="AK60" s="119">
        <v>19</v>
      </c>
      <c r="AL60" s="119">
        <v>20</v>
      </c>
      <c r="AM60" s="119">
        <v>22</v>
      </c>
      <c r="AN60" s="119">
        <v>24</v>
      </c>
      <c r="AO60" s="119">
        <v>25</v>
      </c>
      <c r="AP60" s="119">
        <v>27</v>
      </c>
      <c r="AQ60" s="119">
        <v>28</v>
      </c>
      <c r="AR60" s="119">
        <v>24</v>
      </c>
      <c r="AS60" s="119">
        <v>24</v>
      </c>
      <c r="AT60" s="131">
        <v>21</v>
      </c>
      <c r="AU60" s="134">
        <v>3</v>
      </c>
      <c r="AV60" s="126">
        <v>28</v>
      </c>
      <c r="BB60" s="104">
        <v>0.49934000000000001</v>
      </c>
      <c r="BC60" s="83">
        <v>569.45799999999997</v>
      </c>
      <c r="BD60" s="83">
        <v>-108.643</v>
      </c>
      <c r="BE60" s="83">
        <v>123.9705</v>
      </c>
      <c r="BF60" s="41">
        <v>-48.828125</v>
      </c>
      <c r="BG60" s="41"/>
      <c r="BH60" s="39"/>
    </row>
    <row r="61" spans="1:60">
      <c r="A61" s="2">
        <v>46028</v>
      </c>
      <c r="B61" t="s">
        <v>44</v>
      </c>
      <c r="C61">
        <v>64064</v>
      </c>
      <c r="D61">
        <v>1580</v>
      </c>
      <c r="E61" t="s">
        <v>144</v>
      </c>
      <c r="F61" t="s">
        <v>46</v>
      </c>
      <c r="G61" t="s">
        <v>47</v>
      </c>
      <c r="H61" t="s">
        <v>54</v>
      </c>
      <c r="J61" t="s">
        <v>50</v>
      </c>
      <c r="O61" s="78">
        <v>11</v>
      </c>
      <c r="T61" s="104">
        <v>3</v>
      </c>
      <c r="U61" s="72">
        <v>-26.013088230000001</v>
      </c>
      <c r="V61" s="72">
        <v>529.94165039999996</v>
      </c>
      <c r="W61" s="72">
        <f t="shared" si="6"/>
        <v>555.95473862999995</v>
      </c>
      <c r="X61" s="105">
        <v>1</v>
      </c>
      <c r="AE61" s="118">
        <v>0</v>
      </c>
      <c r="AF61" s="119">
        <v>0</v>
      </c>
      <c r="AG61" s="119">
        <v>0</v>
      </c>
      <c r="AH61" s="119">
        <v>11</v>
      </c>
      <c r="AI61" s="119">
        <v>22</v>
      </c>
      <c r="AJ61" s="119">
        <v>26</v>
      </c>
      <c r="AK61" s="119">
        <v>27</v>
      </c>
      <c r="AL61" s="119">
        <v>26</v>
      </c>
      <c r="AM61" s="119">
        <v>25</v>
      </c>
      <c r="AN61" s="119">
        <v>23</v>
      </c>
      <c r="AO61" s="119">
        <v>20</v>
      </c>
      <c r="AP61" s="119">
        <v>14</v>
      </c>
      <c r="AQ61" s="119">
        <v>13</v>
      </c>
      <c r="AR61" s="119">
        <v>11</v>
      </c>
      <c r="AS61" s="119">
        <v>8</v>
      </c>
      <c r="AT61" s="131">
        <v>5</v>
      </c>
      <c r="AU61" s="134">
        <v>11</v>
      </c>
      <c r="AV61" s="126">
        <v>27</v>
      </c>
      <c r="BB61" s="104">
        <v>0.479993</v>
      </c>
      <c r="BC61" s="83">
        <v>567.01660000000004</v>
      </c>
      <c r="BD61" s="83">
        <v>-108.032</v>
      </c>
      <c r="BE61" s="83">
        <v>115.045</v>
      </c>
      <c r="BF61" s="41">
        <v>-39.916992190000002</v>
      </c>
      <c r="BG61" s="41"/>
      <c r="BH61" s="39"/>
    </row>
    <row r="62" spans="1:60">
      <c r="A62" s="2">
        <v>46028</v>
      </c>
      <c r="B62" t="s">
        <v>44</v>
      </c>
      <c r="C62">
        <v>64064</v>
      </c>
      <c r="D62">
        <v>1581</v>
      </c>
      <c r="E62" t="s">
        <v>145</v>
      </c>
      <c r="F62" t="s">
        <v>46</v>
      </c>
      <c r="G62" t="s">
        <v>47</v>
      </c>
      <c r="H62" t="s">
        <v>54</v>
      </c>
      <c r="J62" t="s">
        <v>50</v>
      </c>
      <c r="O62" s="78">
        <v>12</v>
      </c>
      <c r="T62" s="104">
        <v>5</v>
      </c>
      <c r="U62" s="72">
        <v>-30.896358490000001</v>
      </c>
      <c r="V62" s="72">
        <v>372.98739619999998</v>
      </c>
      <c r="W62" s="72">
        <f t="shared" si="6"/>
        <v>403.88375468999999</v>
      </c>
      <c r="X62" s="105">
        <v>1</v>
      </c>
      <c r="AE62" s="118">
        <v>0</v>
      </c>
      <c r="AF62" s="119">
        <v>0</v>
      </c>
      <c r="AG62" s="119">
        <v>12</v>
      </c>
      <c r="AH62" s="119">
        <v>22</v>
      </c>
      <c r="AI62" s="119">
        <v>25</v>
      </c>
      <c r="AJ62" s="119">
        <v>21</v>
      </c>
      <c r="AK62" s="119">
        <v>15</v>
      </c>
      <c r="AL62" s="119">
        <v>10</v>
      </c>
      <c r="AM62" s="119">
        <v>7</v>
      </c>
      <c r="AN62" s="119">
        <v>6</v>
      </c>
      <c r="AO62" s="119">
        <v>3</v>
      </c>
      <c r="AP62" s="119">
        <v>1</v>
      </c>
      <c r="AQ62" s="119">
        <v>1</v>
      </c>
      <c r="AR62" s="119">
        <v>1</v>
      </c>
      <c r="AS62" s="119">
        <v>1</v>
      </c>
      <c r="AT62" s="131">
        <v>1</v>
      </c>
      <c r="AU62" s="134">
        <v>12</v>
      </c>
      <c r="AV62" s="126">
        <v>25</v>
      </c>
      <c r="BB62" s="104">
        <v>0.43451099999999998</v>
      </c>
      <c r="BC62" s="83">
        <v>567.01660000000004</v>
      </c>
      <c r="BD62" s="83">
        <v>-106.20099999999999</v>
      </c>
      <c r="BE62" s="83">
        <v>116.93859999999999</v>
      </c>
      <c r="BF62" s="41">
        <v>-42.938232419999999</v>
      </c>
      <c r="BG62" s="41"/>
      <c r="BH62" s="39"/>
    </row>
    <row r="63" spans="1:60">
      <c r="A63" s="2">
        <v>46028</v>
      </c>
      <c r="B63" t="s">
        <v>90</v>
      </c>
      <c r="C63">
        <v>64064</v>
      </c>
      <c r="D63" s="19">
        <v>1582</v>
      </c>
      <c r="E63" t="s">
        <v>102</v>
      </c>
      <c r="F63" t="s">
        <v>46</v>
      </c>
      <c r="G63" t="s">
        <v>47</v>
      </c>
      <c r="H63" t="s">
        <v>54</v>
      </c>
      <c r="J63" t="s">
        <v>50</v>
      </c>
      <c r="O63" s="89" t="s">
        <v>59</v>
      </c>
      <c r="T63" s="104">
        <v>3</v>
      </c>
      <c r="U63" s="72">
        <v>-152.1973572</v>
      </c>
      <c r="V63" s="72">
        <v>1746.873169</v>
      </c>
      <c r="W63" s="72">
        <f t="shared" si="6"/>
        <v>1899.0705261999999</v>
      </c>
      <c r="X63" s="105">
        <v>1</v>
      </c>
      <c r="AE63" s="118" t="s">
        <v>59</v>
      </c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31"/>
      <c r="AU63" s="136" t="s">
        <v>59</v>
      </c>
      <c r="AV63" s="126" t="s">
        <v>59</v>
      </c>
      <c r="BB63" s="104">
        <v>0.49066799999999999</v>
      </c>
      <c r="BC63" s="83">
        <v>347.29</v>
      </c>
      <c r="BD63" s="83">
        <v>-110.474</v>
      </c>
      <c r="BE63" s="83">
        <v>121.053</v>
      </c>
      <c r="BF63" s="146">
        <v>-40.588378910000003</v>
      </c>
      <c r="BG63" s="146" t="s">
        <v>70</v>
      </c>
      <c r="BH63" s="147" t="s">
        <v>146</v>
      </c>
    </row>
    <row r="64" spans="1:60">
      <c r="A64" s="2">
        <v>46030</v>
      </c>
      <c r="B64" t="s">
        <v>44</v>
      </c>
      <c r="C64">
        <v>64055</v>
      </c>
      <c r="D64">
        <v>1583</v>
      </c>
      <c r="E64" t="s">
        <v>99</v>
      </c>
      <c r="F64" t="s">
        <v>65</v>
      </c>
      <c r="G64" t="s">
        <v>47</v>
      </c>
      <c r="H64" t="s">
        <v>48</v>
      </c>
      <c r="I64" t="s">
        <v>147</v>
      </c>
      <c r="J64" t="s">
        <v>50</v>
      </c>
      <c r="O64" s="78">
        <v>11</v>
      </c>
      <c r="T64" s="104">
        <v>7</v>
      </c>
      <c r="U64" s="72">
        <v>-11.362668040000001</v>
      </c>
      <c r="V64" s="72">
        <v>443.42822269999999</v>
      </c>
      <c r="W64" s="72">
        <f t="shared" si="6"/>
        <v>454.79089074000001</v>
      </c>
      <c r="X64" s="105">
        <v>1</v>
      </c>
      <c r="AE64" s="118">
        <v>0</v>
      </c>
      <c r="AF64" s="119">
        <v>3</v>
      </c>
      <c r="AG64" s="119">
        <v>11</v>
      </c>
      <c r="AH64" s="119">
        <v>21</v>
      </c>
      <c r="AI64" s="119">
        <v>20</v>
      </c>
      <c r="AJ64" s="119">
        <v>23</v>
      </c>
      <c r="AK64" s="119">
        <v>15</v>
      </c>
      <c r="AL64" s="119">
        <v>4</v>
      </c>
      <c r="AM64" s="119">
        <v>2</v>
      </c>
      <c r="AN64" s="119">
        <v>2</v>
      </c>
      <c r="AO64" s="119">
        <v>2</v>
      </c>
      <c r="AP64" s="119">
        <v>2</v>
      </c>
      <c r="AQ64" s="119">
        <v>1</v>
      </c>
      <c r="AR64" s="119">
        <v>1</v>
      </c>
      <c r="AS64" s="119">
        <v>1</v>
      </c>
      <c r="AT64" s="131">
        <v>1</v>
      </c>
      <c r="AU64" s="134">
        <v>3</v>
      </c>
      <c r="AV64" s="126">
        <v>23</v>
      </c>
      <c r="BB64" s="104">
        <v>0.39646199999999998</v>
      </c>
      <c r="BC64" s="83">
        <v>461.42579999999998</v>
      </c>
      <c r="BD64" s="83">
        <v>-116.577</v>
      </c>
      <c r="BE64" s="83">
        <v>118.8952</v>
      </c>
      <c r="BF64" s="41">
        <v>-50.14038086</v>
      </c>
      <c r="BG64" s="41"/>
      <c r="BH64" s="39"/>
    </row>
    <row r="65" spans="1:60">
      <c r="A65" s="2">
        <v>46030</v>
      </c>
      <c r="B65" t="s">
        <v>44</v>
      </c>
      <c r="C65">
        <v>64056</v>
      </c>
      <c r="D65">
        <v>1584</v>
      </c>
      <c r="E65" t="s">
        <v>148</v>
      </c>
      <c r="F65" t="s">
        <v>65</v>
      </c>
      <c r="G65" t="s">
        <v>47</v>
      </c>
      <c r="H65" t="s">
        <v>54</v>
      </c>
      <c r="J65" t="s">
        <v>50</v>
      </c>
      <c r="O65" s="89" t="s">
        <v>59</v>
      </c>
      <c r="T65" s="104">
        <v>10</v>
      </c>
      <c r="U65" s="72">
        <v>-174.14607240000001</v>
      </c>
      <c r="V65" s="72">
        <v>760.88928220000003</v>
      </c>
      <c r="W65" s="72">
        <f t="shared" si="6"/>
        <v>935.03535460000001</v>
      </c>
      <c r="X65" s="105">
        <v>1</v>
      </c>
      <c r="AE65" s="118" t="s">
        <v>59</v>
      </c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31"/>
      <c r="AU65" s="136" t="s">
        <v>59</v>
      </c>
      <c r="AV65" s="126" t="s">
        <v>59</v>
      </c>
      <c r="BB65" s="104">
        <v>0.41923199999999999</v>
      </c>
      <c r="BC65" s="83">
        <v>479.73630000000003</v>
      </c>
      <c r="BD65" s="83">
        <v>-162.35400000000001</v>
      </c>
      <c r="BE65" s="83">
        <v>128.10310000000001</v>
      </c>
      <c r="BF65" s="41">
        <v>-33.53881836</v>
      </c>
      <c r="BG65" s="41"/>
      <c r="BH65" s="39"/>
    </row>
    <row r="66" spans="1:60">
      <c r="A66" s="2">
        <v>46030</v>
      </c>
      <c r="B66" t="s">
        <v>69</v>
      </c>
      <c r="C66">
        <v>64056</v>
      </c>
      <c r="D66">
        <v>1585</v>
      </c>
      <c r="E66" t="s">
        <v>149</v>
      </c>
      <c r="F66" t="s">
        <v>65</v>
      </c>
      <c r="G66" t="s">
        <v>47</v>
      </c>
      <c r="H66" t="s">
        <v>54</v>
      </c>
      <c r="J66" t="s">
        <v>50</v>
      </c>
      <c r="O66" s="78">
        <v>14</v>
      </c>
      <c r="T66" s="104">
        <v>4</v>
      </c>
      <c r="U66" s="72">
        <v>30.529476169999999</v>
      </c>
      <c r="V66" s="72">
        <v>413.08279420000002</v>
      </c>
      <c r="W66" s="72">
        <f t="shared" si="6"/>
        <v>382.55331803000001</v>
      </c>
      <c r="X66" s="105">
        <v>1</v>
      </c>
      <c r="AE66" s="118">
        <v>0</v>
      </c>
      <c r="AF66" s="119">
        <v>8</v>
      </c>
      <c r="AG66" s="119">
        <v>14</v>
      </c>
      <c r="AH66" s="119">
        <v>18</v>
      </c>
      <c r="AI66" s="119">
        <v>13</v>
      </c>
      <c r="AJ66" s="119">
        <v>9</v>
      </c>
      <c r="AK66" s="119">
        <v>2</v>
      </c>
      <c r="AL66" s="119">
        <v>1</v>
      </c>
      <c r="AM66" s="119">
        <v>1</v>
      </c>
      <c r="AN66" s="119">
        <v>1</v>
      </c>
      <c r="AO66" s="119">
        <v>1</v>
      </c>
      <c r="AP66" s="119">
        <v>1</v>
      </c>
      <c r="AQ66" s="119">
        <v>1</v>
      </c>
      <c r="AR66" s="119">
        <v>1</v>
      </c>
      <c r="AS66" s="119">
        <v>1</v>
      </c>
      <c r="AT66" s="131">
        <v>1</v>
      </c>
      <c r="AU66" s="134">
        <v>8</v>
      </c>
      <c r="AV66" s="126">
        <v>18</v>
      </c>
      <c r="BB66" s="104">
        <v>0.77611300000000005</v>
      </c>
      <c r="BC66" s="83">
        <v>374.7559</v>
      </c>
      <c r="BD66" s="83">
        <v>-65.307599999999994</v>
      </c>
      <c r="BE66" s="83">
        <v>108.7809</v>
      </c>
      <c r="BF66" s="41">
        <v>-51.11694336</v>
      </c>
      <c r="BG66" s="41"/>
      <c r="BH66" s="39"/>
    </row>
    <row r="67" spans="1:60">
      <c r="A67" s="2">
        <v>46030</v>
      </c>
      <c r="B67" t="s">
        <v>90</v>
      </c>
      <c r="C67">
        <v>64056</v>
      </c>
      <c r="D67">
        <v>1586</v>
      </c>
      <c r="E67" t="s">
        <v>149</v>
      </c>
      <c r="F67" t="s">
        <v>65</v>
      </c>
      <c r="G67" t="s">
        <v>47</v>
      </c>
      <c r="H67" t="s">
        <v>54</v>
      </c>
      <c r="J67" t="s">
        <v>50</v>
      </c>
      <c r="O67" s="78">
        <v>6</v>
      </c>
      <c r="T67" s="104">
        <v>3</v>
      </c>
      <c r="U67" s="72">
        <v>-25.527675630000001</v>
      </c>
      <c r="V67" s="72">
        <v>231.77709960000001</v>
      </c>
      <c r="W67" s="72">
        <f t="shared" si="6"/>
        <v>257.30477523000002</v>
      </c>
      <c r="X67" s="105">
        <v>1</v>
      </c>
      <c r="AE67" s="118">
        <v>0</v>
      </c>
      <c r="AF67" s="119">
        <v>0</v>
      </c>
      <c r="AG67" s="119">
        <v>6</v>
      </c>
      <c r="AH67" s="119">
        <v>13</v>
      </c>
      <c r="AI67" s="119">
        <v>19</v>
      </c>
      <c r="AJ67" s="119">
        <v>19</v>
      </c>
      <c r="AK67" s="119">
        <v>23</v>
      </c>
      <c r="AL67" s="119">
        <v>1</v>
      </c>
      <c r="AM67" s="119">
        <v>0</v>
      </c>
      <c r="AN67" s="119">
        <v>0</v>
      </c>
      <c r="AO67" s="119">
        <v>0</v>
      </c>
      <c r="AP67" s="119">
        <v>0</v>
      </c>
      <c r="AQ67" s="119">
        <v>0</v>
      </c>
      <c r="AR67" s="119">
        <v>0</v>
      </c>
      <c r="AS67" s="119">
        <v>0</v>
      </c>
      <c r="AT67" s="131">
        <v>0</v>
      </c>
      <c r="AU67" s="134">
        <v>6</v>
      </c>
      <c r="AV67" s="126">
        <v>23</v>
      </c>
      <c r="BB67" s="104">
        <v>0.581874</v>
      </c>
      <c r="BC67" s="83">
        <v>456.54300000000001</v>
      </c>
      <c r="BD67" s="83">
        <v>-102.539</v>
      </c>
      <c r="BE67" s="83">
        <v>117.8965</v>
      </c>
      <c r="BF67" s="41">
        <v>-47.760009770000003</v>
      </c>
      <c r="BG67" s="41"/>
      <c r="BH67" s="39"/>
    </row>
    <row r="68" spans="1:60">
      <c r="A68" s="2">
        <v>46030</v>
      </c>
      <c r="B68" t="s">
        <v>90</v>
      </c>
      <c r="C68">
        <v>64056</v>
      </c>
      <c r="D68">
        <v>1587</v>
      </c>
      <c r="E68" t="s">
        <v>150</v>
      </c>
      <c r="F68" t="s">
        <v>65</v>
      </c>
      <c r="G68" t="s">
        <v>47</v>
      </c>
      <c r="H68" t="s">
        <v>54</v>
      </c>
      <c r="I68" t="s">
        <v>151</v>
      </c>
      <c r="J68" t="s">
        <v>50</v>
      </c>
      <c r="O68" s="78">
        <v>0</v>
      </c>
      <c r="T68" s="104">
        <v>4</v>
      </c>
      <c r="U68" s="72">
        <v>3.5112376209999998</v>
      </c>
      <c r="V68" s="72">
        <v>235.07925420000001</v>
      </c>
      <c r="W68" s="72">
        <f t="shared" si="6"/>
        <v>231.56801657900002</v>
      </c>
      <c r="X68" s="105">
        <v>1</v>
      </c>
      <c r="AE68" s="118">
        <v>0</v>
      </c>
      <c r="AF68" s="119">
        <v>0</v>
      </c>
      <c r="AG68" s="119">
        <v>0</v>
      </c>
      <c r="AH68" s="119">
        <v>0</v>
      </c>
      <c r="AI68" s="119">
        <v>0</v>
      </c>
      <c r="AJ68" s="119">
        <v>0</v>
      </c>
      <c r="AK68" s="119">
        <v>0</v>
      </c>
      <c r="AL68" s="119">
        <v>0</v>
      </c>
      <c r="AM68" s="119">
        <v>0</v>
      </c>
      <c r="AN68" s="119">
        <v>0</v>
      </c>
      <c r="AO68" s="119">
        <v>0</v>
      </c>
      <c r="AP68" s="119">
        <v>0</v>
      </c>
      <c r="AQ68" s="119">
        <v>0</v>
      </c>
      <c r="AR68" s="119">
        <v>0</v>
      </c>
      <c r="AS68" s="119">
        <v>0</v>
      </c>
      <c r="AT68" s="131">
        <v>0</v>
      </c>
      <c r="AU68" s="137" t="s">
        <v>152</v>
      </c>
      <c r="AV68" s="127" t="s">
        <v>152</v>
      </c>
      <c r="BB68" s="104">
        <v>0.44350200000000001</v>
      </c>
      <c r="BC68" s="83">
        <v>548.70609999999999</v>
      </c>
      <c r="BD68" s="83">
        <v>-112.30500000000001</v>
      </c>
      <c r="BE68" s="83">
        <v>115.0519</v>
      </c>
      <c r="BF68" s="41">
        <v>-52.734375</v>
      </c>
      <c r="BG68" s="41"/>
      <c r="BH68" s="39"/>
    </row>
    <row r="69" spans="1:60">
      <c r="A69" s="2">
        <v>46031</v>
      </c>
      <c r="B69" t="s">
        <v>90</v>
      </c>
      <c r="C69">
        <v>64065</v>
      </c>
      <c r="D69" s="19">
        <v>1588</v>
      </c>
      <c r="E69" t="s">
        <v>68</v>
      </c>
      <c r="F69" t="s">
        <v>46</v>
      </c>
      <c r="G69" t="s">
        <v>57</v>
      </c>
      <c r="H69" t="s">
        <v>54</v>
      </c>
      <c r="I69" t="s">
        <v>153</v>
      </c>
      <c r="J69" t="s">
        <v>50</v>
      </c>
      <c r="T69" s="104">
        <v>2</v>
      </c>
      <c r="U69" s="72">
        <v>-123.0862961</v>
      </c>
      <c r="V69" s="72">
        <v>1034.139038</v>
      </c>
      <c r="W69" s="72">
        <f t="shared" si="6"/>
        <v>1157.2253341000001</v>
      </c>
      <c r="X69" s="105">
        <v>1</v>
      </c>
      <c r="AE69" s="118">
        <v>0</v>
      </c>
      <c r="AF69" s="119">
        <v>0</v>
      </c>
      <c r="AG69" s="119">
        <v>0</v>
      </c>
      <c r="AH69" s="119">
        <v>0</v>
      </c>
      <c r="AI69" s="119">
        <v>0</v>
      </c>
      <c r="AJ69" s="119">
        <v>0</v>
      </c>
      <c r="AK69" s="119">
        <v>0</v>
      </c>
      <c r="AL69" s="119">
        <v>2</v>
      </c>
      <c r="AM69" s="119">
        <v>2</v>
      </c>
      <c r="AN69" s="119">
        <v>2</v>
      </c>
      <c r="AO69" s="119">
        <v>2</v>
      </c>
      <c r="AP69" s="119">
        <v>1</v>
      </c>
      <c r="AQ69" s="119">
        <v>1</v>
      </c>
      <c r="AR69" s="119">
        <v>1</v>
      </c>
      <c r="AS69" s="119">
        <v>1</v>
      </c>
      <c r="AT69" s="131">
        <v>1</v>
      </c>
      <c r="AU69" s="134">
        <v>2</v>
      </c>
      <c r="AV69" s="126">
        <v>2</v>
      </c>
      <c r="BB69" s="104">
        <v>1.573061</v>
      </c>
      <c r="BC69" s="83">
        <v>169.67769999999999</v>
      </c>
      <c r="BD69" s="83">
        <v>-31.738299999999999</v>
      </c>
      <c r="BE69" s="83">
        <v>122.93510000000001</v>
      </c>
      <c r="BF69" s="146">
        <v>-34.1796875</v>
      </c>
      <c r="BG69" s="146" t="s">
        <v>70</v>
      </c>
      <c r="BH69" s="147" t="s">
        <v>154</v>
      </c>
    </row>
    <row r="70" spans="1:60">
      <c r="A70" s="2">
        <v>46031</v>
      </c>
      <c r="B70" t="s">
        <v>44</v>
      </c>
      <c r="C70">
        <v>64065</v>
      </c>
      <c r="D70">
        <v>1589</v>
      </c>
      <c r="E70" t="s">
        <v>99</v>
      </c>
      <c r="F70" t="s">
        <v>46</v>
      </c>
      <c r="G70" t="s">
        <v>57</v>
      </c>
      <c r="H70" t="s">
        <v>54</v>
      </c>
      <c r="J70" t="s">
        <v>50</v>
      </c>
      <c r="O70" s="78">
        <v>0</v>
      </c>
      <c r="T70" s="104">
        <v>6</v>
      </c>
      <c r="U70" s="72">
        <v>-51.21430969</v>
      </c>
      <c r="V70" s="72">
        <v>681.73138429999995</v>
      </c>
      <c r="W70" s="72">
        <f t="shared" si="6"/>
        <v>732.94569399</v>
      </c>
      <c r="X70" s="105">
        <v>1</v>
      </c>
      <c r="AE70" s="118">
        <v>0</v>
      </c>
      <c r="AF70" s="119">
        <v>0</v>
      </c>
      <c r="AG70" s="119">
        <v>0</v>
      </c>
      <c r="AH70" s="119">
        <v>0</v>
      </c>
      <c r="AI70" s="119">
        <v>0</v>
      </c>
      <c r="AJ70" s="119">
        <v>8</v>
      </c>
      <c r="AK70" s="119">
        <v>15</v>
      </c>
      <c r="AL70" s="119">
        <v>19</v>
      </c>
      <c r="AM70" s="119">
        <v>24</v>
      </c>
      <c r="AN70" s="119">
        <v>27</v>
      </c>
      <c r="AO70" s="119">
        <v>29</v>
      </c>
      <c r="AP70" s="119">
        <v>32</v>
      </c>
      <c r="AQ70" s="119">
        <v>34</v>
      </c>
      <c r="AR70" s="119">
        <v>37</v>
      </c>
      <c r="AS70" s="119">
        <v>37</v>
      </c>
      <c r="AT70" s="131">
        <v>40</v>
      </c>
      <c r="AU70" s="134">
        <v>8</v>
      </c>
      <c r="AV70" s="126">
        <v>40</v>
      </c>
      <c r="BB70" s="104">
        <v>0.64750399999999997</v>
      </c>
      <c r="BC70" s="83">
        <v>495.60550000000001</v>
      </c>
      <c r="BD70" s="83">
        <v>-90.331999999999994</v>
      </c>
      <c r="BE70" s="83">
        <v>133.77330000000001</v>
      </c>
      <c r="BF70" s="41">
        <v>-43.151855470000001</v>
      </c>
      <c r="BG70" s="41"/>
      <c r="BH70" s="39"/>
    </row>
    <row r="71" spans="1:60">
      <c r="A71" s="2">
        <v>46031</v>
      </c>
      <c r="B71" t="s">
        <v>44</v>
      </c>
      <c r="C71">
        <v>64065</v>
      </c>
      <c r="D71">
        <v>1590</v>
      </c>
      <c r="E71" t="s">
        <v>142</v>
      </c>
      <c r="F71" t="s">
        <v>46</v>
      </c>
      <c r="G71" t="s">
        <v>57</v>
      </c>
      <c r="H71" t="s">
        <v>54</v>
      </c>
      <c r="I71" t="s">
        <v>155</v>
      </c>
      <c r="J71" t="s">
        <v>50</v>
      </c>
      <c r="O71" s="78">
        <v>9</v>
      </c>
      <c r="T71" s="104">
        <v>2</v>
      </c>
      <c r="U71" s="72">
        <v>-1.547159553</v>
      </c>
      <c r="V71" s="72">
        <v>427.71560670000002</v>
      </c>
      <c r="W71" s="72">
        <f t="shared" si="6"/>
        <v>429.262766253</v>
      </c>
      <c r="X71" s="105">
        <v>1</v>
      </c>
      <c r="AE71" s="118">
        <v>0</v>
      </c>
      <c r="AF71" s="119">
        <v>0</v>
      </c>
      <c r="AG71" s="119">
        <v>0</v>
      </c>
      <c r="AH71" s="119">
        <v>9</v>
      </c>
      <c r="AI71" s="119">
        <v>20</v>
      </c>
      <c r="AJ71" s="119">
        <v>23</v>
      </c>
      <c r="AK71" s="119">
        <v>24</v>
      </c>
      <c r="AL71" s="119">
        <v>26</v>
      </c>
      <c r="AM71" s="119">
        <v>24</v>
      </c>
      <c r="AN71" s="119">
        <v>22</v>
      </c>
      <c r="AO71" s="119">
        <v>19</v>
      </c>
      <c r="AP71" s="119">
        <v>14</v>
      </c>
      <c r="AQ71" s="119">
        <v>13</v>
      </c>
      <c r="AR71" s="119">
        <v>2</v>
      </c>
      <c r="AS71" s="119">
        <v>1</v>
      </c>
      <c r="AT71" s="131">
        <v>1</v>
      </c>
      <c r="AU71" s="134">
        <v>9</v>
      </c>
      <c r="AV71" s="126">
        <v>26</v>
      </c>
      <c r="BB71" s="104">
        <v>0.474213</v>
      </c>
      <c r="BC71" s="83">
        <v>582.88570000000004</v>
      </c>
      <c r="BD71" s="83">
        <v>-96.435500000000005</v>
      </c>
      <c r="BE71" s="83">
        <v>116.9337</v>
      </c>
      <c r="BF71" s="41">
        <v>-51.91040039</v>
      </c>
      <c r="BG71" s="41"/>
      <c r="BH71" s="39"/>
    </row>
    <row r="72" spans="1:60">
      <c r="A72" s="2">
        <v>46031</v>
      </c>
      <c r="B72" t="s">
        <v>69</v>
      </c>
      <c r="C72">
        <v>64066</v>
      </c>
      <c r="D72">
        <v>1591</v>
      </c>
      <c r="E72" t="s">
        <v>99</v>
      </c>
      <c r="F72" t="s">
        <v>46</v>
      </c>
      <c r="G72" t="s">
        <v>57</v>
      </c>
      <c r="H72" t="s">
        <v>48</v>
      </c>
      <c r="I72" t="s">
        <v>153</v>
      </c>
      <c r="J72" t="s">
        <v>50</v>
      </c>
      <c r="O72" s="78">
        <v>14</v>
      </c>
      <c r="T72" s="104">
        <v>4</v>
      </c>
      <c r="U72" s="72">
        <v>30.529476169999999</v>
      </c>
      <c r="V72" s="72">
        <v>413.08279420000002</v>
      </c>
      <c r="W72" s="72">
        <f t="shared" si="6"/>
        <v>382.55331803000001</v>
      </c>
      <c r="X72" s="105">
        <v>1</v>
      </c>
      <c r="AE72" s="118">
        <v>0</v>
      </c>
      <c r="AF72" s="119">
        <v>8</v>
      </c>
      <c r="AG72" s="119">
        <v>14</v>
      </c>
      <c r="AH72" s="119">
        <v>18</v>
      </c>
      <c r="AI72" s="119">
        <v>13</v>
      </c>
      <c r="AJ72" s="119">
        <v>9</v>
      </c>
      <c r="AK72" s="119">
        <v>2</v>
      </c>
      <c r="AL72" s="119">
        <v>1</v>
      </c>
      <c r="AM72" s="119">
        <v>1</v>
      </c>
      <c r="AN72" s="119">
        <v>1</v>
      </c>
      <c r="AO72" s="119">
        <v>1</v>
      </c>
      <c r="AP72" s="119">
        <v>1</v>
      </c>
      <c r="AQ72" s="119">
        <v>1</v>
      </c>
      <c r="AR72" s="119">
        <v>1</v>
      </c>
      <c r="AS72" s="119">
        <v>1</v>
      </c>
      <c r="AT72" s="131">
        <v>1</v>
      </c>
      <c r="AU72" s="134">
        <v>8</v>
      </c>
      <c r="AV72" s="126">
        <v>18</v>
      </c>
      <c r="BB72" s="104">
        <v>0.77611300000000005</v>
      </c>
      <c r="BC72" s="83">
        <v>374.7559</v>
      </c>
      <c r="BD72" s="83">
        <v>-65.307599999999994</v>
      </c>
      <c r="BE72" s="83">
        <v>108.7809</v>
      </c>
      <c r="BF72" s="41">
        <v>-51.11694336</v>
      </c>
      <c r="BG72" s="41"/>
      <c r="BH72" s="39"/>
    </row>
    <row r="73" spans="1:60">
      <c r="A73" s="2">
        <v>46035</v>
      </c>
      <c r="B73" t="s">
        <v>44</v>
      </c>
      <c r="C73">
        <v>64059</v>
      </c>
      <c r="D73">
        <v>1592</v>
      </c>
      <c r="E73" t="s">
        <v>99</v>
      </c>
      <c r="F73" t="s">
        <v>65</v>
      </c>
      <c r="G73" t="s">
        <v>47</v>
      </c>
      <c r="H73" t="s">
        <v>54</v>
      </c>
      <c r="I73" t="s">
        <v>156</v>
      </c>
      <c r="J73" t="s">
        <v>50</v>
      </c>
      <c r="O73" s="78">
        <v>22</v>
      </c>
      <c r="T73" s="104">
        <v>8</v>
      </c>
      <c r="U73" s="72">
        <v>-90.353538510000007</v>
      </c>
      <c r="V73" s="72">
        <v>490.42529300000001</v>
      </c>
      <c r="W73" s="72">
        <f t="shared" si="6"/>
        <v>580.77883151000003</v>
      </c>
      <c r="X73" s="105">
        <v>1</v>
      </c>
      <c r="AE73" s="118">
        <v>0</v>
      </c>
      <c r="AF73" s="119">
        <v>0</v>
      </c>
      <c r="AG73" s="119">
        <v>0</v>
      </c>
      <c r="AH73" s="119">
        <v>5</v>
      </c>
      <c r="AI73" s="119">
        <v>22</v>
      </c>
      <c r="AJ73" s="119">
        <v>30</v>
      </c>
      <c r="AK73" s="119">
        <v>36</v>
      </c>
      <c r="AL73" s="119">
        <v>38</v>
      </c>
      <c r="AM73" s="119">
        <v>41</v>
      </c>
      <c r="AN73" s="119">
        <v>41</v>
      </c>
      <c r="AO73" s="119">
        <v>43</v>
      </c>
      <c r="AP73" s="119">
        <v>38</v>
      </c>
      <c r="AQ73" s="119">
        <v>36</v>
      </c>
      <c r="AR73" s="119">
        <v>31</v>
      </c>
      <c r="AS73" s="119">
        <v>11</v>
      </c>
      <c r="AT73" s="131">
        <v>7</v>
      </c>
      <c r="AU73" s="134">
        <v>5</v>
      </c>
      <c r="AV73" s="126">
        <v>43</v>
      </c>
      <c r="BB73" s="104">
        <v>0.61414100000000005</v>
      </c>
      <c r="BC73" s="83">
        <v>517.57809999999995</v>
      </c>
      <c r="BD73" s="83">
        <v>-100.098</v>
      </c>
      <c r="BE73" s="83">
        <v>126.42529999999999</v>
      </c>
      <c r="BF73" s="41">
        <v>-39.489746089999997</v>
      </c>
      <c r="BG73" s="41"/>
      <c r="BH73" s="39"/>
    </row>
    <row r="74" spans="1:60">
      <c r="A74" s="2">
        <v>46035</v>
      </c>
      <c r="B74" t="s">
        <v>44</v>
      </c>
      <c r="C74">
        <v>64059</v>
      </c>
      <c r="D74">
        <v>1593</v>
      </c>
      <c r="E74" t="s">
        <v>142</v>
      </c>
      <c r="F74" t="s">
        <v>65</v>
      </c>
      <c r="G74" t="s">
        <v>47</v>
      </c>
      <c r="H74" t="s">
        <v>54</v>
      </c>
      <c r="I74" t="s">
        <v>157</v>
      </c>
      <c r="J74" t="s">
        <v>50</v>
      </c>
      <c r="O74" s="78">
        <v>6</v>
      </c>
      <c r="T74" s="104">
        <v>4</v>
      </c>
      <c r="U74" s="72">
        <v>-100.16218569999999</v>
      </c>
      <c r="V74" s="72">
        <v>581.61810300000002</v>
      </c>
      <c r="W74" s="72">
        <f t="shared" si="6"/>
        <v>681.78028870000003</v>
      </c>
      <c r="X74" s="105">
        <v>1</v>
      </c>
      <c r="AE74" s="118">
        <v>0</v>
      </c>
      <c r="AF74" s="119">
        <v>0</v>
      </c>
      <c r="AG74" s="119">
        <v>0</v>
      </c>
      <c r="AH74" s="119">
        <v>0</v>
      </c>
      <c r="AI74" s="119">
        <v>0</v>
      </c>
      <c r="AJ74" s="119">
        <v>6</v>
      </c>
      <c r="AK74" s="119">
        <v>15</v>
      </c>
      <c r="AL74" s="119">
        <v>19</v>
      </c>
      <c r="AM74" s="119">
        <v>22</v>
      </c>
      <c r="AN74" s="119">
        <v>24</v>
      </c>
      <c r="AO74" s="119">
        <v>26</v>
      </c>
      <c r="AP74" s="119">
        <v>26</v>
      </c>
      <c r="AQ74" s="119">
        <v>31</v>
      </c>
      <c r="AR74" s="119">
        <v>37</v>
      </c>
      <c r="AS74" s="119">
        <v>48</v>
      </c>
      <c r="AT74" s="131">
        <v>55</v>
      </c>
      <c r="AU74" s="134">
        <v>6</v>
      </c>
      <c r="AV74" s="126">
        <v>55</v>
      </c>
      <c r="BB74" s="104">
        <v>0.52322000000000002</v>
      </c>
      <c r="BC74" s="83">
        <v>480.95699999999999</v>
      </c>
      <c r="BD74" s="83">
        <v>-119.629</v>
      </c>
      <c r="BE74" s="83">
        <v>128.07910000000001</v>
      </c>
      <c r="BF74" s="41">
        <v>-29.266357419999999</v>
      </c>
      <c r="BG74" s="41"/>
      <c r="BH74" s="39"/>
    </row>
    <row r="75" spans="1:60">
      <c r="A75" s="2">
        <v>46035</v>
      </c>
      <c r="B75" t="s">
        <v>158</v>
      </c>
      <c r="C75">
        <v>64059</v>
      </c>
      <c r="D75" s="19">
        <v>1594</v>
      </c>
      <c r="F75" t="s">
        <v>65</v>
      </c>
      <c r="G75" t="s">
        <v>47</v>
      </c>
      <c r="H75" t="s">
        <v>54</v>
      </c>
      <c r="J75" t="s">
        <v>50</v>
      </c>
      <c r="O75" s="78">
        <v>1</v>
      </c>
      <c r="T75" s="104">
        <v>2</v>
      </c>
      <c r="U75" s="72">
        <v>-8.5289039609999993</v>
      </c>
      <c r="V75" s="72">
        <v>118.64295199999999</v>
      </c>
      <c r="W75" s="72">
        <f t="shared" si="6"/>
        <v>127.17185596099999</v>
      </c>
      <c r="X75" s="105">
        <v>1</v>
      </c>
      <c r="AE75" s="118">
        <v>0</v>
      </c>
      <c r="AF75" s="119">
        <v>1</v>
      </c>
      <c r="AG75" s="119">
        <v>1</v>
      </c>
      <c r="AH75" s="119">
        <v>1</v>
      </c>
      <c r="AI75" s="119">
        <v>1</v>
      </c>
      <c r="AJ75" s="119">
        <v>1</v>
      </c>
      <c r="AK75" s="119">
        <v>1</v>
      </c>
      <c r="AL75" s="119">
        <v>1</v>
      </c>
      <c r="AM75" s="119">
        <v>1</v>
      </c>
      <c r="AN75" s="119">
        <v>1</v>
      </c>
      <c r="AO75" s="119">
        <v>1</v>
      </c>
      <c r="AP75" s="119">
        <v>1</v>
      </c>
      <c r="AQ75" s="119">
        <v>1</v>
      </c>
      <c r="AR75" s="119">
        <v>1</v>
      </c>
      <c r="AS75" s="119">
        <v>1</v>
      </c>
      <c r="AT75" s="131">
        <v>1</v>
      </c>
      <c r="AU75" s="134">
        <v>1</v>
      </c>
      <c r="AV75" s="126">
        <v>1</v>
      </c>
      <c r="BB75" s="104">
        <v>1.296921</v>
      </c>
      <c r="BC75" s="83">
        <v>203.85740000000001</v>
      </c>
      <c r="BD75" s="83">
        <v>-36.621099999999998</v>
      </c>
      <c r="BE75" s="83">
        <v>113.5945</v>
      </c>
      <c r="BF75" s="146">
        <v>-59.204101559999998</v>
      </c>
      <c r="BG75" s="146" t="s">
        <v>70</v>
      </c>
      <c r="BH75" s="147" t="s">
        <v>89</v>
      </c>
    </row>
    <row r="76" spans="1:60">
      <c r="A76" s="2">
        <v>46035</v>
      </c>
      <c r="B76" t="s">
        <v>44</v>
      </c>
      <c r="C76">
        <v>64060</v>
      </c>
      <c r="D76">
        <v>1595</v>
      </c>
      <c r="E76" t="s">
        <v>159</v>
      </c>
      <c r="F76" t="s">
        <v>65</v>
      </c>
      <c r="G76" t="s">
        <v>47</v>
      </c>
      <c r="H76" t="s">
        <v>48</v>
      </c>
      <c r="I76" t="s">
        <v>160</v>
      </c>
      <c r="J76" t="s">
        <v>50</v>
      </c>
      <c r="O76" s="78">
        <v>6</v>
      </c>
      <c r="T76" s="104">
        <v>4</v>
      </c>
      <c r="U76" s="72">
        <v>-35.845378879999998</v>
      </c>
      <c r="V76" s="72">
        <v>544.95007320000002</v>
      </c>
      <c r="W76" s="72">
        <f t="shared" si="6"/>
        <v>580.79545208000002</v>
      </c>
      <c r="X76" s="105">
        <v>1</v>
      </c>
      <c r="AE76" s="118">
        <v>0</v>
      </c>
      <c r="AF76" s="119">
        <v>0</v>
      </c>
      <c r="AG76" s="119">
        <v>0</v>
      </c>
      <c r="AH76" s="119">
        <v>6</v>
      </c>
      <c r="AI76" s="119">
        <v>15</v>
      </c>
      <c r="AJ76" s="119">
        <v>17</v>
      </c>
      <c r="AK76" s="119">
        <v>14</v>
      </c>
      <c r="AL76" s="119">
        <v>10</v>
      </c>
      <c r="AM76" s="119">
        <v>12</v>
      </c>
      <c r="AN76" s="119">
        <v>10</v>
      </c>
      <c r="AO76" s="119">
        <v>8</v>
      </c>
      <c r="AP76" s="119">
        <v>3</v>
      </c>
      <c r="AQ76" s="119">
        <v>2</v>
      </c>
      <c r="AR76" s="119">
        <v>2</v>
      </c>
      <c r="AS76" s="119">
        <v>2</v>
      </c>
      <c r="AT76" s="131">
        <v>1</v>
      </c>
      <c r="AU76" s="134">
        <v>6</v>
      </c>
      <c r="AV76" s="126">
        <v>17</v>
      </c>
      <c r="BB76" s="104">
        <v>0.55319499999999999</v>
      </c>
      <c r="BC76" s="83">
        <v>654.29690000000005</v>
      </c>
      <c r="BD76" s="83">
        <v>-95.214799999999997</v>
      </c>
      <c r="BE76" s="83">
        <v>127.80629999999999</v>
      </c>
      <c r="BF76" s="41">
        <v>-41.320800779999999</v>
      </c>
      <c r="BG76" s="41"/>
      <c r="BH76" s="39"/>
    </row>
    <row r="77" spans="1:60">
      <c r="A77" s="2">
        <v>46036</v>
      </c>
      <c r="B77" t="s">
        <v>44</v>
      </c>
      <c r="C77">
        <v>64057</v>
      </c>
      <c r="D77">
        <v>1596</v>
      </c>
      <c r="E77" t="s">
        <v>107</v>
      </c>
      <c r="F77" t="s">
        <v>65</v>
      </c>
      <c r="G77" t="s">
        <v>57</v>
      </c>
      <c r="H77" t="s">
        <v>48</v>
      </c>
      <c r="I77" t="s">
        <v>161</v>
      </c>
      <c r="J77" t="s">
        <v>50</v>
      </c>
      <c r="O77" s="78">
        <v>4</v>
      </c>
      <c r="T77" s="104">
        <v>3</v>
      </c>
      <c r="U77" s="72">
        <v>-26.068311690000002</v>
      </c>
      <c r="V77" s="72">
        <v>631.30694579999999</v>
      </c>
      <c r="W77" s="72">
        <f t="shared" si="6"/>
        <v>657.37525748999997</v>
      </c>
      <c r="X77" s="105">
        <v>1</v>
      </c>
      <c r="AE77" s="118">
        <v>0</v>
      </c>
      <c r="AF77" s="119">
        <v>0</v>
      </c>
      <c r="AG77" s="119">
        <v>0</v>
      </c>
      <c r="AH77" s="119">
        <v>4</v>
      </c>
      <c r="AI77" s="119">
        <v>8</v>
      </c>
      <c r="AJ77" s="119">
        <v>13</v>
      </c>
      <c r="AK77" s="119">
        <v>12</v>
      </c>
      <c r="AL77" s="119">
        <v>16</v>
      </c>
      <c r="AM77" s="119">
        <v>18</v>
      </c>
      <c r="AN77" s="119">
        <v>14</v>
      </c>
      <c r="AO77" s="119">
        <v>15</v>
      </c>
      <c r="AP77" s="119">
        <v>12</v>
      </c>
      <c r="AQ77" s="119">
        <v>12</v>
      </c>
      <c r="AR77" s="119">
        <v>9</v>
      </c>
      <c r="AS77" s="119">
        <v>2</v>
      </c>
      <c r="AT77" s="131">
        <v>1</v>
      </c>
      <c r="AU77" s="134">
        <v>4</v>
      </c>
      <c r="AV77" s="126">
        <v>18</v>
      </c>
      <c r="BB77" s="104">
        <v>0.66672600000000004</v>
      </c>
      <c r="BC77" s="83">
        <v>439.45310000000001</v>
      </c>
      <c r="BD77" s="83">
        <v>-83.007800000000003</v>
      </c>
      <c r="BE77" s="83">
        <v>124.741</v>
      </c>
      <c r="BF77" s="41">
        <v>-39.093017580000001</v>
      </c>
      <c r="BG77" s="41"/>
      <c r="BH77" s="39"/>
    </row>
    <row r="78" spans="1:60">
      <c r="A78" s="2">
        <v>46036</v>
      </c>
      <c r="B78" t="s">
        <v>44</v>
      </c>
      <c r="C78">
        <v>64057</v>
      </c>
      <c r="D78">
        <v>1597</v>
      </c>
      <c r="E78" t="s">
        <v>116</v>
      </c>
      <c r="F78" t="s">
        <v>65</v>
      </c>
      <c r="G78" t="s">
        <v>57</v>
      </c>
      <c r="H78" t="s">
        <v>48</v>
      </c>
      <c r="I78" t="s">
        <v>162</v>
      </c>
      <c r="J78" t="s">
        <v>50</v>
      </c>
      <c r="O78" s="78">
        <v>5</v>
      </c>
      <c r="T78" s="104">
        <v>4</v>
      </c>
      <c r="U78" s="72">
        <v>-1.527023077</v>
      </c>
      <c r="V78" s="72">
        <v>681.41839600000003</v>
      </c>
      <c r="W78" s="72">
        <f t="shared" si="6"/>
        <v>682.945419077</v>
      </c>
      <c r="X78" s="105">
        <v>1</v>
      </c>
      <c r="AE78" s="118">
        <v>0</v>
      </c>
      <c r="AF78" s="119">
        <v>0</v>
      </c>
      <c r="AG78" s="119">
        <v>0</v>
      </c>
      <c r="AH78" s="119">
        <v>2</v>
      </c>
      <c r="AI78" s="119">
        <v>5</v>
      </c>
      <c r="AJ78" s="119">
        <v>7</v>
      </c>
      <c r="AK78" s="119">
        <v>8</v>
      </c>
      <c r="AL78" s="119">
        <v>10</v>
      </c>
      <c r="AM78" s="119">
        <v>10</v>
      </c>
      <c r="AN78" s="119">
        <v>10</v>
      </c>
      <c r="AO78" s="119">
        <v>12</v>
      </c>
      <c r="AP78" s="119">
        <v>12</v>
      </c>
      <c r="AQ78" s="119">
        <v>8</v>
      </c>
      <c r="AR78" s="119">
        <v>1</v>
      </c>
      <c r="AS78" s="119">
        <v>1</v>
      </c>
      <c r="AT78" s="131">
        <v>1</v>
      </c>
      <c r="AU78" s="134">
        <v>2</v>
      </c>
      <c r="AV78" s="126">
        <v>12</v>
      </c>
      <c r="BB78" s="104">
        <v>0.65162500000000001</v>
      </c>
      <c r="BC78" s="83">
        <v>355.83499999999998</v>
      </c>
      <c r="BD78" s="83">
        <v>-75.683599999999998</v>
      </c>
      <c r="BE78" s="83">
        <v>116.2621</v>
      </c>
      <c r="BF78" s="41">
        <v>-49.95727539</v>
      </c>
      <c r="BG78" s="41"/>
      <c r="BH78" s="39"/>
    </row>
    <row r="79" spans="1:60">
      <c r="A79" s="2">
        <v>46036</v>
      </c>
      <c r="B79" t="s">
        <v>44</v>
      </c>
      <c r="C79">
        <v>64058</v>
      </c>
      <c r="D79" s="19">
        <v>1598</v>
      </c>
      <c r="E79" t="s">
        <v>163</v>
      </c>
      <c r="F79" t="s">
        <v>65</v>
      </c>
      <c r="G79" t="s">
        <v>57</v>
      </c>
      <c r="H79" t="s">
        <v>54</v>
      </c>
      <c r="I79" t="s">
        <v>164</v>
      </c>
      <c r="J79" t="s">
        <v>50</v>
      </c>
      <c r="O79" s="78">
        <v>9</v>
      </c>
      <c r="T79" s="104">
        <v>2</v>
      </c>
      <c r="U79" s="72">
        <v>-26.046497339999998</v>
      </c>
      <c r="V79" s="72">
        <v>302.43701170000003</v>
      </c>
      <c r="W79" s="72">
        <f t="shared" si="6"/>
        <v>328.48350904</v>
      </c>
      <c r="X79" s="105">
        <v>1</v>
      </c>
      <c r="AE79" s="118">
        <v>0</v>
      </c>
      <c r="AF79" s="119">
        <v>5</v>
      </c>
      <c r="AG79" s="119">
        <v>9</v>
      </c>
      <c r="AH79" s="119">
        <v>11</v>
      </c>
      <c r="AI79" s="119">
        <v>9</v>
      </c>
      <c r="AJ79" s="119">
        <v>8</v>
      </c>
      <c r="AK79" s="119">
        <v>1</v>
      </c>
      <c r="AL79" s="119">
        <v>1</v>
      </c>
      <c r="AM79" s="119">
        <v>1</v>
      </c>
      <c r="AN79" s="119">
        <v>1</v>
      </c>
      <c r="AO79" s="119">
        <v>1</v>
      </c>
      <c r="AP79" s="119">
        <v>1</v>
      </c>
      <c r="AQ79" s="119">
        <v>1</v>
      </c>
      <c r="AR79" s="119">
        <v>1</v>
      </c>
      <c r="AS79" s="119">
        <v>1</v>
      </c>
      <c r="AT79" s="131">
        <v>1</v>
      </c>
      <c r="AU79" s="134">
        <v>5</v>
      </c>
      <c r="AV79" s="126">
        <v>11</v>
      </c>
      <c r="BB79" s="104">
        <v>1.3153060000000001</v>
      </c>
      <c r="BC79" s="83">
        <v>343.01760000000002</v>
      </c>
      <c r="BD79" s="83">
        <v>-43.335000000000001</v>
      </c>
      <c r="BE79" s="83">
        <v>126.06480000000001</v>
      </c>
      <c r="BF79" s="146">
        <v>-53.924560550000002</v>
      </c>
      <c r="BG79" s="146" t="s">
        <v>70</v>
      </c>
      <c r="BH79" s="147" t="s">
        <v>75</v>
      </c>
    </row>
    <row r="80" spans="1:60">
      <c r="A80" s="2">
        <v>46036</v>
      </c>
      <c r="B80" t="s">
        <v>44</v>
      </c>
      <c r="C80">
        <v>64058</v>
      </c>
      <c r="D80">
        <v>1599</v>
      </c>
      <c r="E80" t="s">
        <v>165</v>
      </c>
      <c r="F80" t="s">
        <v>65</v>
      </c>
      <c r="G80" t="s">
        <v>57</v>
      </c>
      <c r="H80" t="s">
        <v>54</v>
      </c>
      <c r="I80" t="s">
        <v>166</v>
      </c>
      <c r="J80" t="s">
        <v>50</v>
      </c>
      <c r="O80" s="78">
        <v>7</v>
      </c>
      <c r="T80" s="104">
        <v>4</v>
      </c>
      <c r="U80" s="72">
        <v>-26.02697182</v>
      </c>
      <c r="V80" s="72">
        <v>352.73626710000002</v>
      </c>
      <c r="W80" s="72">
        <f t="shared" si="6"/>
        <v>378.76323892000005</v>
      </c>
      <c r="X80" s="105">
        <v>1</v>
      </c>
      <c r="AE80" s="118">
        <v>0</v>
      </c>
      <c r="AF80" s="119">
        <v>0</v>
      </c>
      <c r="AG80" s="119">
        <v>7</v>
      </c>
      <c r="AH80" s="119">
        <v>8</v>
      </c>
      <c r="AI80" s="119">
        <v>5</v>
      </c>
      <c r="AJ80" s="119">
        <v>2</v>
      </c>
      <c r="AK80" s="119">
        <v>2</v>
      </c>
      <c r="AL80" s="119">
        <v>1</v>
      </c>
      <c r="AM80" s="119">
        <v>1</v>
      </c>
      <c r="AN80" s="119">
        <v>1</v>
      </c>
      <c r="AO80" s="119">
        <v>1</v>
      </c>
      <c r="AP80" s="119">
        <v>1</v>
      </c>
      <c r="AQ80" s="119">
        <v>1</v>
      </c>
      <c r="AR80" s="119">
        <v>1</v>
      </c>
      <c r="AS80" s="119">
        <v>1</v>
      </c>
      <c r="AT80" s="131">
        <v>1</v>
      </c>
      <c r="AU80" s="134">
        <v>7</v>
      </c>
      <c r="AV80" s="126">
        <v>8</v>
      </c>
      <c r="BB80" s="104">
        <v>1.262934</v>
      </c>
      <c r="BC80" s="83">
        <v>291.74799999999999</v>
      </c>
      <c r="BD80" s="83">
        <v>-39.672899999999998</v>
      </c>
      <c r="BE80" s="83">
        <v>121.346</v>
      </c>
      <c r="BF80" s="41">
        <v>-37.93334961</v>
      </c>
      <c r="BG80" s="41"/>
      <c r="BH80" s="39"/>
    </row>
    <row r="81" spans="1:60">
      <c r="A81" s="2">
        <v>46036</v>
      </c>
      <c r="B81" t="s">
        <v>44</v>
      </c>
      <c r="C81">
        <v>64058</v>
      </c>
      <c r="D81">
        <v>1600</v>
      </c>
      <c r="E81" t="s">
        <v>167</v>
      </c>
      <c r="F81" t="s">
        <v>65</v>
      </c>
      <c r="G81" t="s">
        <v>57</v>
      </c>
      <c r="H81" t="s">
        <v>54</v>
      </c>
      <c r="I81" t="s">
        <v>168</v>
      </c>
      <c r="J81" t="s">
        <v>50</v>
      </c>
      <c r="O81" s="78">
        <v>8</v>
      </c>
      <c r="T81" s="104">
        <v>5</v>
      </c>
      <c r="U81" s="72">
        <v>-21.143854139999998</v>
      </c>
      <c r="V81" s="72">
        <v>231.4484406</v>
      </c>
      <c r="W81" s="72">
        <f t="shared" si="6"/>
        <v>252.59229474</v>
      </c>
      <c r="X81" s="105">
        <v>1</v>
      </c>
      <c r="AE81" s="118">
        <v>0</v>
      </c>
      <c r="AF81" s="119">
        <v>8</v>
      </c>
      <c r="AG81" s="119">
        <v>13</v>
      </c>
      <c r="AH81" s="119">
        <v>13</v>
      </c>
      <c r="AI81" s="119">
        <v>11</v>
      </c>
      <c r="AJ81" s="119">
        <v>1</v>
      </c>
      <c r="AK81" s="119">
        <v>1</v>
      </c>
      <c r="AL81" s="119">
        <v>1</v>
      </c>
      <c r="AM81" s="119">
        <v>1</v>
      </c>
      <c r="AN81" s="119">
        <v>1</v>
      </c>
      <c r="AO81" s="119">
        <v>1</v>
      </c>
      <c r="AP81" s="119">
        <v>1</v>
      </c>
      <c r="AQ81" s="119">
        <v>1</v>
      </c>
      <c r="AR81" s="119">
        <v>1</v>
      </c>
      <c r="AS81" s="119">
        <v>1</v>
      </c>
      <c r="AT81" s="131">
        <v>1</v>
      </c>
      <c r="AU81" s="134">
        <v>8</v>
      </c>
      <c r="AV81" s="126">
        <v>13</v>
      </c>
      <c r="BB81" s="104">
        <v>1.266915</v>
      </c>
      <c r="BC81" s="83">
        <v>332.03129999999999</v>
      </c>
      <c r="BD81" s="83">
        <v>-38.452100000000002</v>
      </c>
      <c r="BE81" s="83">
        <v>123.4756</v>
      </c>
      <c r="BF81" s="41">
        <v>-46.478271479999997</v>
      </c>
      <c r="BG81" s="41"/>
      <c r="BH81" s="39"/>
    </row>
    <row r="82" spans="1:60">
      <c r="A82" s="2">
        <v>46037</v>
      </c>
      <c r="B82" t="s">
        <v>158</v>
      </c>
      <c r="C82">
        <v>64067</v>
      </c>
      <c r="D82">
        <v>1601</v>
      </c>
      <c r="F82" t="s">
        <v>46</v>
      </c>
      <c r="G82" t="s">
        <v>47</v>
      </c>
      <c r="H82" t="s">
        <v>54</v>
      </c>
      <c r="J82" t="s">
        <v>50</v>
      </c>
      <c r="O82" s="78">
        <v>7</v>
      </c>
      <c r="T82" s="104">
        <v>9</v>
      </c>
      <c r="U82" s="106">
        <v>-111.6694717</v>
      </c>
      <c r="V82" s="106">
        <v>754.48840329999996</v>
      </c>
      <c r="W82" s="106">
        <f t="shared" si="6"/>
        <v>866.15787499999999</v>
      </c>
      <c r="X82" s="105">
        <v>1</v>
      </c>
      <c r="AE82" s="118">
        <v>0</v>
      </c>
      <c r="AF82" s="119">
        <v>0</v>
      </c>
      <c r="AG82" s="119">
        <v>0</v>
      </c>
      <c r="AH82" s="119">
        <v>0</v>
      </c>
      <c r="AI82" s="119">
        <v>7</v>
      </c>
      <c r="AJ82" s="119">
        <v>10</v>
      </c>
      <c r="AK82" s="119">
        <v>14</v>
      </c>
      <c r="AL82" s="119">
        <v>16</v>
      </c>
      <c r="AM82" s="119">
        <v>18</v>
      </c>
      <c r="AN82" s="119">
        <v>20</v>
      </c>
      <c r="AO82" s="119">
        <v>21</v>
      </c>
      <c r="AP82" s="119">
        <v>4</v>
      </c>
      <c r="AQ82" s="119">
        <v>1</v>
      </c>
      <c r="AR82" s="119">
        <v>2</v>
      </c>
      <c r="AS82" s="119">
        <v>2</v>
      </c>
      <c r="AT82" s="131">
        <v>2</v>
      </c>
      <c r="AU82" s="134">
        <v>7</v>
      </c>
      <c r="AV82" s="126">
        <v>21</v>
      </c>
      <c r="BB82" s="104">
        <v>2.3474300000000001</v>
      </c>
      <c r="BC82" s="83">
        <v>219.72659999999999</v>
      </c>
      <c r="BD82" s="83">
        <v>-28.686499999999999</v>
      </c>
      <c r="BE82" s="83">
        <v>143.22739999999999</v>
      </c>
      <c r="BF82" s="41">
        <v>-22.338867189999998</v>
      </c>
      <c r="BG82" s="41"/>
      <c r="BH82" s="39"/>
    </row>
    <row r="83" spans="1:60">
      <c r="A83" s="2">
        <v>46037</v>
      </c>
      <c r="B83" t="s">
        <v>69</v>
      </c>
      <c r="C83">
        <v>64067</v>
      </c>
      <c r="D83">
        <v>1602</v>
      </c>
      <c r="E83" t="s">
        <v>93</v>
      </c>
      <c r="F83" t="s">
        <v>46</v>
      </c>
      <c r="G83" t="s">
        <v>47</v>
      </c>
      <c r="H83" t="s">
        <v>54</v>
      </c>
      <c r="I83" t="s">
        <v>169</v>
      </c>
      <c r="J83" t="s">
        <v>50</v>
      </c>
      <c r="O83" s="78">
        <v>26</v>
      </c>
      <c r="T83" s="107"/>
      <c r="U83" s="108"/>
      <c r="V83" s="108"/>
      <c r="W83" s="100">
        <v>575</v>
      </c>
      <c r="X83" s="109">
        <v>1</v>
      </c>
      <c r="AE83" s="118">
        <v>0</v>
      </c>
      <c r="AF83" s="119">
        <v>0</v>
      </c>
      <c r="AG83" s="119">
        <v>0</v>
      </c>
      <c r="AH83" s="119">
        <v>10</v>
      </c>
      <c r="AI83" s="119">
        <v>16</v>
      </c>
      <c r="AJ83" s="119">
        <v>19</v>
      </c>
      <c r="AK83" s="119">
        <v>22</v>
      </c>
      <c r="AL83" s="119">
        <v>23</v>
      </c>
      <c r="AM83" s="119">
        <v>25</v>
      </c>
      <c r="AN83" s="119">
        <v>25</v>
      </c>
      <c r="AO83" s="119">
        <v>27</v>
      </c>
      <c r="AP83" s="119">
        <v>26</v>
      </c>
      <c r="AQ83" s="119">
        <v>25</v>
      </c>
      <c r="AR83" s="119">
        <v>25</v>
      </c>
      <c r="AS83" s="119">
        <v>21</v>
      </c>
      <c r="AT83" s="131">
        <v>1</v>
      </c>
      <c r="AU83" s="134">
        <v>10</v>
      </c>
      <c r="AV83" s="126">
        <v>27</v>
      </c>
      <c r="BB83" s="104">
        <v>0.59928899999999996</v>
      </c>
      <c r="BC83" s="83">
        <v>299.07229999999998</v>
      </c>
      <c r="BD83" s="83">
        <v>-79.956100000000006</v>
      </c>
      <c r="BE83" s="83">
        <v>116.4037</v>
      </c>
      <c r="BF83" s="41">
        <v>-46.356201169999999</v>
      </c>
      <c r="BG83" s="41"/>
      <c r="BH83" s="39"/>
    </row>
    <row r="84" spans="1:60">
      <c r="A84" s="2">
        <v>46037</v>
      </c>
      <c r="B84" t="s">
        <v>69</v>
      </c>
      <c r="C84">
        <v>64068</v>
      </c>
      <c r="D84">
        <v>1603</v>
      </c>
      <c r="E84" t="s">
        <v>170</v>
      </c>
      <c r="F84" t="s">
        <v>46</v>
      </c>
      <c r="G84" t="s">
        <v>47</v>
      </c>
      <c r="H84" t="s">
        <v>48</v>
      </c>
      <c r="I84" t="s">
        <v>171</v>
      </c>
      <c r="J84" t="s">
        <v>50</v>
      </c>
      <c r="O84" s="78">
        <v>1</v>
      </c>
      <c r="T84" s="107"/>
      <c r="U84" s="108"/>
      <c r="V84" s="108"/>
      <c r="W84" s="100">
        <v>525</v>
      </c>
      <c r="X84" s="109">
        <v>1</v>
      </c>
      <c r="AE84" s="118">
        <v>0</v>
      </c>
      <c r="AF84" s="119">
        <v>0</v>
      </c>
      <c r="AG84" s="119">
        <v>2</v>
      </c>
      <c r="AH84" s="119">
        <v>6</v>
      </c>
      <c r="AI84" s="119">
        <v>10</v>
      </c>
      <c r="AJ84" s="119">
        <v>13</v>
      </c>
      <c r="AK84" s="119">
        <v>13</v>
      </c>
      <c r="AL84" s="119">
        <v>16</v>
      </c>
      <c r="AM84" s="119">
        <v>15</v>
      </c>
      <c r="AN84" s="119">
        <v>16</v>
      </c>
      <c r="AO84" s="119">
        <v>15</v>
      </c>
      <c r="AP84" s="119">
        <v>1</v>
      </c>
      <c r="AQ84" s="119">
        <v>1</v>
      </c>
      <c r="AR84" s="119">
        <v>1</v>
      </c>
      <c r="AS84" s="119">
        <v>1</v>
      </c>
      <c r="AT84" s="131">
        <v>1</v>
      </c>
      <c r="AU84" s="134">
        <v>2</v>
      </c>
      <c r="AV84" s="126">
        <v>16</v>
      </c>
      <c r="BB84" s="104">
        <v>0.84043699999999999</v>
      </c>
      <c r="BC84" s="83">
        <v>335.08300000000003</v>
      </c>
      <c r="BD84" s="83">
        <v>-57.372999999999998</v>
      </c>
      <c r="BE84" s="83">
        <v>125.6266</v>
      </c>
      <c r="BF84" s="41">
        <v>-43.640136720000001</v>
      </c>
      <c r="BG84" s="41"/>
      <c r="BH84" s="39"/>
    </row>
    <row r="85" spans="1:60">
      <c r="A85" s="2">
        <v>46037</v>
      </c>
      <c r="B85" t="s">
        <v>69</v>
      </c>
      <c r="C85">
        <v>64068</v>
      </c>
      <c r="D85">
        <v>1604</v>
      </c>
      <c r="E85" t="s">
        <v>172</v>
      </c>
      <c r="F85" t="s">
        <v>46</v>
      </c>
      <c r="G85" t="s">
        <v>47</v>
      </c>
      <c r="H85" t="s">
        <v>48</v>
      </c>
      <c r="I85" t="s">
        <v>173</v>
      </c>
      <c r="J85" t="s">
        <v>50</v>
      </c>
      <c r="O85" s="78">
        <v>18</v>
      </c>
      <c r="T85" s="107"/>
      <c r="U85" s="108"/>
      <c r="V85" s="108"/>
      <c r="W85" s="100">
        <v>600</v>
      </c>
      <c r="X85" s="109">
        <v>1</v>
      </c>
      <c r="AE85" s="118">
        <v>0</v>
      </c>
      <c r="AF85" s="119">
        <v>0</v>
      </c>
      <c r="AG85" s="119">
        <v>0</v>
      </c>
      <c r="AH85" s="119">
        <v>7</v>
      </c>
      <c r="AI85" s="119">
        <v>11</v>
      </c>
      <c r="AJ85" s="119">
        <v>14</v>
      </c>
      <c r="AK85" s="119">
        <v>15</v>
      </c>
      <c r="AL85" s="119">
        <v>16</v>
      </c>
      <c r="AM85" s="119">
        <v>17</v>
      </c>
      <c r="AN85" s="119">
        <v>18</v>
      </c>
      <c r="AO85" s="119">
        <v>18</v>
      </c>
      <c r="AP85" s="119">
        <v>18</v>
      </c>
      <c r="AQ85" s="119">
        <v>14</v>
      </c>
      <c r="AR85" s="119">
        <v>2</v>
      </c>
      <c r="AS85" s="119">
        <v>1</v>
      </c>
      <c r="AT85" s="131">
        <v>1</v>
      </c>
      <c r="AU85" s="134">
        <v>7</v>
      </c>
      <c r="AV85" s="126">
        <v>18</v>
      </c>
      <c r="BB85" s="104">
        <v>0.96484300000000001</v>
      </c>
      <c r="BC85" s="83">
        <v>396.1182</v>
      </c>
      <c r="BD85" s="83">
        <v>-55.542000000000002</v>
      </c>
      <c r="BE85" s="83">
        <v>125.4118</v>
      </c>
      <c r="BF85" s="41">
        <v>-45.959472660000003</v>
      </c>
      <c r="BG85" s="41"/>
      <c r="BH85" s="39"/>
    </row>
    <row r="86" spans="1:60">
      <c r="A86" s="2">
        <v>46038</v>
      </c>
      <c r="B86" t="s">
        <v>90</v>
      </c>
      <c r="C86">
        <v>64061</v>
      </c>
      <c r="D86">
        <v>1605</v>
      </c>
      <c r="E86" t="s">
        <v>174</v>
      </c>
      <c r="F86" t="s">
        <v>65</v>
      </c>
      <c r="G86" t="s">
        <v>57</v>
      </c>
      <c r="H86" t="s">
        <v>48</v>
      </c>
      <c r="I86" t="s">
        <v>175</v>
      </c>
      <c r="J86" t="s">
        <v>50</v>
      </c>
      <c r="O86" s="89" t="s">
        <v>59</v>
      </c>
      <c r="T86" s="104">
        <v>2</v>
      </c>
      <c r="U86" s="72">
        <v>-120.38555150000001</v>
      </c>
      <c r="V86" s="72">
        <v>1118.743164</v>
      </c>
      <c r="W86" s="72">
        <f t="shared" si="6"/>
        <v>1239.1287155</v>
      </c>
      <c r="X86" s="105">
        <v>1</v>
      </c>
      <c r="AE86" s="118" t="s">
        <v>59</v>
      </c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31"/>
      <c r="AU86" s="136" t="s">
        <v>59</v>
      </c>
      <c r="AV86" s="126" t="s">
        <v>59</v>
      </c>
      <c r="BB86" s="104">
        <v>0.67925599999999997</v>
      </c>
      <c r="BC86" s="83">
        <v>286.86520000000002</v>
      </c>
      <c r="BD86" s="83">
        <v>-64.0869</v>
      </c>
      <c r="BE86" s="83">
        <v>114.0943</v>
      </c>
      <c r="BF86" s="41">
        <v>-45.806884770000003</v>
      </c>
      <c r="BG86" s="41"/>
      <c r="BH86" s="39"/>
    </row>
    <row r="87" spans="1:60">
      <c r="A87" s="2">
        <v>46038</v>
      </c>
      <c r="B87" t="s">
        <v>44</v>
      </c>
      <c r="C87">
        <v>64061</v>
      </c>
      <c r="D87">
        <v>1606</v>
      </c>
      <c r="E87" t="s">
        <v>176</v>
      </c>
      <c r="F87" t="s">
        <v>65</v>
      </c>
      <c r="G87" t="s">
        <v>57</v>
      </c>
      <c r="H87" t="s">
        <v>48</v>
      </c>
      <c r="I87" t="s">
        <v>151</v>
      </c>
      <c r="J87" t="s">
        <v>50</v>
      </c>
      <c r="O87" s="78">
        <v>5</v>
      </c>
      <c r="T87" s="104">
        <v>6</v>
      </c>
      <c r="U87" s="72">
        <v>-15.841834070000001</v>
      </c>
      <c r="V87" s="72">
        <v>267.31832889999998</v>
      </c>
      <c r="W87" s="72">
        <f t="shared" si="6"/>
        <v>283.16016296999999</v>
      </c>
      <c r="X87" s="105">
        <v>1</v>
      </c>
      <c r="AE87" s="118">
        <v>0</v>
      </c>
      <c r="AF87" s="119">
        <v>0</v>
      </c>
      <c r="AG87" s="119">
        <v>5</v>
      </c>
      <c r="AH87" s="119">
        <v>9</v>
      </c>
      <c r="AI87" s="119">
        <v>8</v>
      </c>
      <c r="AJ87" s="119">
        <v>6</v>
      </c>
      <c r="AK87" s="119">
        <v>1</v>
      </c>
      <c r="AL87" s="119">
        <v>1</v>
      </c>
      <c r="AM87" s="119">
        <v>1</v>
      </c>
      <c r="AN87" s="119">
        <v>1</v>
      </c>
      <c r="AO87" s="119">
        <v>1</v>
      </c>
      <c r="AP87" s="119">
        <v>1</v>
      </c>
      <c r="AQ87" s="119">
        <v>1</v>
      </c>
      <c r="AR87" s="119">
        <v>1</v>
      </c>
      <c r="AS87" s="119">
        <v>1</v>
      </c>
      <c r="AT87" s="131">
        <v>1</v>
      </c>
      <c r="AU87" s="134">
        <v>5</v>
      </c>
      <c r="AV87" s="126">
        <v>9</v>
      </c>
      <c r="BB87" s="104">
        <v>0.65257699999999996</v>
      </c>
      <c r="BC87" s="83">
        <v>384.5215</v>
      </c>
      <c r="BD87" s="83">
        <v>-78.735399999999998</v>
      </c>
      <c r="BE87" s="83">
        <v>115.3306</v>
      </c>
      <c r="BF87" s="41">
        <v>-42.419433589999997</v>
      </c>
      <c r="BG87" s="41"/>
      <c r="BH87" s="39"/>
    </row>
    <row r="88" spans="1:60">
      <c r="A88" s="2">
        <v>46038</v>
      </c>
      <c r="B88" t="s">
        <v>90</v>
      </c>
      <c r="C88">
        <v>64061</v>
      </c>
      <c r="D88">
        <v>1607</v>
      </c>
      <c r="E88" t="s">
        <v>177</v>
      </c>
      <c r="F88" t="s">
        <v>65</v>
      </c>
      <c r="G88" t="s">
        <v>57</v>
      </c>
      <c r="H88" t="s">
        <v>48</v>
      </c>
      <c r="J88" t="s">
        <v>50</v>
      </c>
      <c r="O88" s="78">
        <v>0</v>
      </c>
      <c r="T88" s="104">
        <v>5</v>
      </c>
      <c r="U88" s="72">
        <v>-70.847457890000001</v>
      </c>
      <c r="V88" s="72">
        <v>1546.865601</v>
      </c>
      <c r="W88" s="72">
        <f t="shared" si="6"/>
        <v>1617.71305889</v>
      </c>
      <c r="X88" s="105">
        <v>1</v>
      </c>
      <c r="AE88" s="118">
        <v>0</v>
      </c>
      <c r="AF88" s="119">
        <v>0</v>
      </c>
      <c r="AG88" s="119">
        <v>0</v>
      </c>
      <c r="AH88" s="119">
        <v>0</v>
      </c>
      <c r="AI88" s="119">
        <v>0</v>
      </c>
      <c r="AJ88" s="119">
        <v>0</v>
      </c>
      <c r="AK88" s="119">
        <v>0</v>
      </c>
      <c r="AL88" s="119">
        <v>0</v>
      </c>
      <c r="AM88" s="119">
        <v>0</v>
      </c>
      <c r="AN88" s="119">
        <v>0</v>
      </c>
      <c r="AO88" s="119">
        <v>0</v>
      </c>
      <c r="AP88" s="119">
        <v>0</v>
      </c>
      <c r="AQ88" s="119">
        <v>1</v>
      </c>
      <c r="AR88" s="119">
        <v>2</v>
      </c>
      <c r="AS88" s="119">
        <v>2</v>
      </c>
      <c r="AT88" s="131">
        <v>1</v>
      </c>
      <c r="AU88" s="134">
        <v>1</v>
      </c>
      <c r="AV88" s="126">
        <v>2</v>
      </c>
      <c r="BB88" s="104">
        <v>0.67147699999999999</v>
      </c>
      <c r="BC88" s="83">
        <v>286.86520000000002</v>
      </c>
      <c r="BD88" s="83">
        <v>-66.528300000000002</v>
      </c>
      <c r="BE88" s="83">
        <v>121.2664</v>
      </c>
      <c r="BF88" s="41">
        <v>-49.194335940000002</v>
      </c>
      <c r="BG88" s="41"/>
      <c r="BH88" s="39"/>
    </row>
    <row r="89" spans="1:60">
      <c r="A89" s="2">
        <v>46038</v>
      </c>
      <c r="B89" t="s">
        <v>90</v>
      </c>
      <c r="C89">
        <v>64062</v>
      </c>
      <c r="D89">
        <v>1608</v>
      </c>
      <c r="E89" t="s">
        <v>178</v>
      </c>
      <c r="F89" t="s">
        <v>65</v>
      </c>
      <c r="G89" t="s">
        <v>57</v>
      </c>
      <c r="H89" t="s">
        <v>54</v>
      </c>
      <c r="J89" t="s">
        <v>50</v>
      </c>
      <c r="O89" s="89" t="s">
        <v>59</v>
      </c>
      <c r="T89" s="104">
        <v>5</v>
      </c>
      <c r="U89" s="72">
        <v>-41.463176730000001</v>
      </c>
      <c r="V89" s="72">
        <v>767.71270749999996</v>
      </c>
      <c r="W89" s="72">
        <f t="shared" si="6"/>
        <v>809.17588422999995</v>
      </c>
      <c r="X89" s="105">
        <v>1</v>
      </c>
      <c r="AE89" s="118" t="s">
        <v>59</v>
      </c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31"/>
      <c r="AU89" s="136" t="s">
        <v>59</v>
      </c>
      <c r="AV89" s="126" t="s">
        <v>59</v>
      </c>
      <c r="BB89" s="104">
        <v>0.63207400000000002</v>
      </c>
      <c r="BC89" s="83">
        <v>410.15629999999999</v>
      </c>
      <c r="BD89" s="83">
        <v>-82.397499999999994</v>
      </c>
      <c r="BE89" s="83">
        <v>125.0166</v>
      </c>
      <c r="BF89" s="41">
        <v>-36.315917970000001</v>
      </c>
      <c r="BG89" s="41"/>
      <c r="BH89" s="39"/>
    </row>
    <row r="90" spans="1:60">
      <c r="A90" s="2">
        <v>46038</v>
      </c>
      <c r="B90" t="s">
        <v>44</v>
      </c>
      <c r="C90">
        <v>64062</v>
      </c>
      <c r="D90">
        <v>1609</v>
      </c>
      <c r="E90" t="s">
        <v>142</v>
      </c>
      <c r="F90" t="s">
        <v>65</v>
      </c>
      <c r="G90" t="s">
        <v>57</v>
      </c>
      <c r="H90" t="s">
        <v>54</v>
      </c>
      <c r="J90" t="s">
        <v>50</v>
      </c>
      <c r="O90" s="78">
        <v>8</v>
      </c>
      <c r="T90" s="104">
        <v>3</v>
      </c>
      <c r="U90" s="72">
        <v>8.1975660319999992</v>
      </c>
      <c r="V90" s="72">
        <v>368.88708500000001</v>
      </c>
      <c r="W90" s="72">
        <f t="shared" si="6"/>
        <v>360.68951896800002</v>
      </c>
      <c r="X90" s="105">
        <v>1</v>
      </c>
      <c r="AE90" s="118">
        <v>0</v>
      </c>
      <c r="AF90" s="119">
        <v>0</v>
      </c>
      <c r="AG90" s="119">
        <v>8</v>
      </c>
      <c r="AH90" s="119">
        <v>13</v>
      </c>
      <c r="AI90" s="119">
        <v>13</v>
      </c>
      <c r="AJ90" s="119">
        <v>7</v>
      </c>
      <c r="AK90" s="119">
        <v>1</v>
      </c>
      <c r="AL90" s="119">
        <v>1</v>
      </c>
      <c r="AM90" s="119">
        <v>1</v>
      </c>
      <c r="AN90" s="119">
        <v>1</v>
      </c>
      <c r="AO90" s="119">
        <v>1</v>
      </c>
      <c r="AP90" s="119">
        <v>1</v>
      </c>
      <c r="AQ90" s="119">
        <v>1</v>
      </c>
      <c r="AR90" s="119">
        <v>1</v>
      </c>
      <c r="AS90" s="119">
        <v>1</v>
      </c>
      <c r="AT90" s="131">
        <v>1</v>
      </c>
      <c r="AU90" s="134">
        <v>8</v>
      </c>
      <c r="AV90" s="126">
        <v>13</v>
      </c>
      <c r="BB90" s="104">
        <v>0.60184000000000004</v>
      </c>
      <c r="BC90" s="83">
        <v>297.85160000000002</v>
      </c>
      <c r="BD90" s="83">
        <v>-65.918000000000006</v>
      </c>
      <c r="BE90" s="83">
        <v>106.51349999999999</v>
      </c>
      <c r="BF90" s="41">
        <v>-52.612304690000002</v>
      </c>
      <c r="BG90" s="41"/>
      <c r="BH90" s="39"/>
    </row>
    <row r="91" spans="1:60">
      <c r="A91" s="2">
        <v>46038</v>
      </c>
      <c r="B91" t="s">
        <v>90</v>
      </c>
      <c r="C91">
        <v>64062</v>
      </c>
      <c r="D91" s="19">
        <v>1610</v>
      </c>
      <c r="E91" t="s">
        <v>179</v>
      </c>
      <c r="F91" t="s">
        <v>65</v>
      </c>
      <c r="G91" t="s">
        <v>57</v>
      </c>
      <c r="H91" t="s">
        <v>54</v>
      </c>
      <c r="J91" t="s">
        <v>50</v>
      </c>
      <c r="O91" s="89" t="s">
        <v>59</v>
      </c>
      <c r="T91" s="104">
        <v>1</v>
      </c>
      <c r="U91" s="72">
        <v>-218.8516846</v>
      </c>
      <c r="V91" s="72">
        <v>-92.022232059999993</v>
      </c>
      <c r="W91" s="72">
        <f t="shared" si="6"/>
        <v>126.82945254000001</v>
      </c>
      <c r="X91" s="105">
        <v>1</v>
      </c>
      <c r="AE91" s="118" t="s">
        <v>59</v>
      </c>
      <c r="AF91" s="119" t="s">
        <v>180</v>
      </c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31"/>
      <c r="AU91" s="136" t="s">
        <v>59</v>
      </c>
      <c r="AV91" s="126" t="s">
        <v>59</v>
      </c>
      <c r="BB91" s="104">
        <v>0.182922</v>
      </c>
      <c r="BC91" s="83">
        <v>582.27539999999999</v>
      </c>
      <c r="BD91" s="83">
        <v>-451.05</v>
      </c>
      <c r="BE91" s="83">
        <v>107.0742</v>
      </c>
      <c r="BF91" s="146">
        <v>-58.59375</v>
      </c>
      <c r="BG91" s="146" t="s">
        <v>70</v>
      </c>
      <c r="BH91" s="147" t="s">
        <v>75</v>
      </c>
    </row>
    <row r="92" spans="1:60">
      <c r="A92" s="2">
        <v>46038</v>
      </c>
      <c r="B92" t="s">
        <v>158</v>
      </c>
      <c r="C92">
        <v>64061</v>
      </c>
      <c r="D92" s="19">
        <v>1611</v>
      </c>
      <c r="F92" t="s">
        <v>65</v>
      </c>
      <c r="G92" t="s">
        <v>57</v>
      </c>
      <c r="H92" t="s">
        <v>48</v>
      </c>
      <c r="J92" t="s">
        <v>50</v>
      </c>
      <c r="O92" s="122">
        <v>6</v>
      </c>
      <c r="T92" s="104">
        <v>2</v>
      </c>
      <c r="U92" s="72">
        <v>-490.57177730000001</v>
      </c>
      <c r="V92" s="72">
        <v>-57.529548650000002</v>
      </c>
      <c r="W92" s="72">
        <f t="shared" si="6"/>
        <v>433.04222865000003</v>
      </c>
      <c r="X92" s="105">
        <v>1</v>
      </c>
      <c r="AE92" s="118">
        <v>0</v>
      </c>
      <c r="AF92" s="119">
        <v>0</v>
      </c>
      <c r="AG92" s="119">
        <v>0</v>
      </c>
      <c r="AH92" s="119">
        <v>5</v>
      </c>
      <c r="AI92" s="119">
        <v>6</v>
      </c>
      <c r="AJ92" s="119">
        <v>7</v>
      </c>
      <c r="AK92" s="119">
        <v>3</v>
      </c>
      <c r="AL92" s="119">
        <v>1</v>
      </c>
      <c r="AM92" s="119">
        <v>1</v>
      </c>
      <c r="AN92" s="119">
        <v>1</v>
      </c>
      <c r="AO92" s="119">
        <v>1</v>
      </c>
      <c r="AP92" s="119">
        <v>1</v>
      </c>
      <c r="AQ92" s="119">
        <v>1</v>
      </c>
      <c r="AR92" s="119">
        <v>1</v>
      </c>
      <c r="AS92" s="119">
        <v>1</v>
      </c>
      <c r="AT92" s="131">
        <v>1</v>
      </c>
      <c r="AU92" s="134">
        <v>5</v>
      </c>
      <c r="AV92" s="126">
        <v>7</v>
      </c>
      <c r="BB92" s="104">
        <v>0.99875599999999998</v>
      </c>
      <c r="BC92" s="83">
        <v>167.2363</v>
      </c>
      <c r="BD92" s="83">
        <v>-29.296900000000001</v>
      </c>
      <c r="BE92" s="83">
        <v>95.328590000000005</v>
      </c>
      <c r="BF92" s="146">
        <v>-58.59375</v>
      </c>
      <c r="BG92" s="146" t="s">
        <v>70</v>
      </c>
      <c r="BH92" s="147" t="s">
        <v>75</v>
      </c>
    </row>
    <row r="93" spans="1:60">
      <c r="A93" s="2">
        <v>46038</v>
      </c>
      <c r="B93" t="s">
        <v>90</v>
      </c>
      <c r="C93">
        <v>64062</v>
      </c>
      <c r="D93" s="19">
        <v>1612</v>
      </c>
      <c r="E93" t="s">
        <v>181</v>
      </c>
      <c r="F93" t="s">
        <v>65</v>
      </c>
      <c r="G93" t="s">
        <v>57</v>
      </c>
      <c r="H93" t="s">
        <v>54</v>
      </c>
      <c r="J93" t="s">
        <v>50</v>
      </c>
      <c r="O93" s="4"/>
      <c r="T93" s="104">
        <v>9</v>
      </c>
      <c r="U93" s="72">
        <v>-1185.492798</v>
      </c>
      <c r="V93" s="72">
        <v>-73.038734439999999</v>
      </c>
      <c r="W93" s="72">
        <f t="shared" si="6"/>
        <v>1112.4540635599999</v>
      </c>
      <c r="X93" s="105">
        <v>1</v>
      </c>
      <c r="AE93" s="118">
        <v>0</v>
      </c>
      <c r="AF93" s="119">
        <v>0</v>
      </c>
      <c r="AG93" s="119">
        <v>0</v>
      </c>
      <c r="AH93" s="119">
        <v>0</v>
      </c>
      <c r="AI93" s="119">
        <v>0</v>
      </c>
      <c r="AJ93" s="119">
        <v>0</v>
      </c>
      <c r="AK93" s="119">
        <v>0</v>
      </c>
      <c r="AL93" s="119">
        <v>0</v>
      </c>
      <c r="AM93" s="119">
        <v>0</v>
      </c>
      <c r="AN93" s="119">
        <v>0</v>
      </c>
      <c r="AO93" s="119">
        <v>0</v>
      </c>
      <c r="AP93" s="119">
        <v>0</v>
      </c>
      <c r="AQ93" s="119">
        <v>3</v>
      </c>
      <c r="AR93" s="119">
        <v>5</v>
      </c>
      <c r="AS93" s="119">
        <v>2</v>
      </c>
      <c r="AT93" s="131">
        <v>1</v>
      </c>
      <c r="AU93" s="134">
        <v>3</v>
      </c>
      <c r="AV93" s="126">
        <v>5</v>
      </c>
      <c r="BB93" s="104">
        <v>0.88229100000000005</v>
      </c>
      <c r="BC93" s="83">
        <v>262.45119999999997</v>
      </c>
      <c r="BD93" s="83">
        <v>-68.969700000000003</v>
      </c>
      <c r="BE93" s="83">
        <v>81.652550000000005</v>
      </c>
      <c r="BF93" s="146">
        <v>-31.677246090000001</v>
      </c>
      <c r="BG93" s="146" t="s">
        <v>70</v>
      </c>
      <c r="BH93" s="147" t="s">
        <v>89</v>
      </c>
    </row>
    <row r="94" spans="1:60">
      <c r="A94" s="2">
        <v>46038</v>
      </c>
      <c r="B94" t="s">
        <v>44</v>
      </c>
      <c r="C94">
        <v>64062</v>
      </c>
      <c r="D94" s="19">
        <v>1613</v>
      </c>
      <c r="F94" t="s">
        <v>65</v>
      </c>
      <c r="G94" t="s">
        <v>57</v>
      </c>
      <c r="H94" t="s">
        <v>54</v>
      </c>
      <c r="I94" t="s">
        <v>182</v>
      </c>
      <c r="J94" t="s">
        <v>50</v>
      </c>
      <c r="O94" s="89" t="s">
        <v>152</v>
      </c>
      <c r="T94" s="104">
        <v>2</v>
      </c>
      <c r="U94" s="72">
        <v>-15.845952990000001</v>
      </c>
      <c r="V94" s="72">
        <v>138.3619995</v>
      </c>
      <c r="W94" s="72">
        <f t="shared" si="6"/>
        <v>154.20795249</v>
      </c>
      <c r="X94" s="105">
        <v>1</v>
      </c>
      <c r="AE94" s="118" t="s">
        <v>152</v>
      </c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31"/>
      <c r="AU94" s="136" t="s">
        <v>152</v>
      </c>
      <c r="AV94" s="126" t="s">
        <v>152</v>
      </c>
      <c r="BB94" s="104">
        <v>0.35805700000000001</v>
      </c>
      <c r="BC94" s="83">
        <v>172.7295</v>
      </c>
      <c r="BD94" s="83">
        <v>-59.204099999999997</v>
      </c>
      <c r="BE94" s="83">
        <v>99.396699999999996</v>
      </c>
      <c r="BF94" s="146">
        <v>-74.981689450000005</v>
      </c>
      <c r="BG94" s="146" t="s">
        <v>70</v>
      </c>
      <c r="BH94" s="147" t="s">
        <v>75</v>
      </c>
    </row>
    <row r="95" spans="1:60">
      <c r="A95" s="2">
        <v>46042</v>
      </c>
      <c r="B95" t="s">
        <v>69</v>
      </c>
      <c r="C95">
        <v>64069</v>
      </c>
      <c r="D95" s="19">
        <v>1614</v>
      </c>
      <c r="E95" t="s">
        <v>140</v>
      </c>
      <c r="F95" t="s">
        <v>46</v>
      </c>
      <c r="G95" t="s">
        <v>57</v>
      </c>
      <c r="H95" t="s">
        <v>54</v>
      </c>
      <c r="I95" t="s">
        <v>183</v>
      </c>
      <c r="J95" t="s">
        <v>80</v>
      </c>
      <c r="O95" s="78">
        <v>18</v>
      </c>
      <c r="T95" s="104">
        <v>4</v>
      </c>
      <c r="U95" s="72">
        <v>-11.4328413</v>
      </c>
      <c r="V95" s="72">
        <v>469.09429929999999</v>
      </c>
      <c r="W95" s="72">
        <f t="shared" si="6"/>
        <v>480.5271406</v>
      </c>
      <c r="X95" s="105">
        <v>2</v>
      </c>
      <c r="AE95" s="118">
        <v>0</v>
      </c>
      <c r="AF95" s="119">
        <v>0</v>
      </c>
      <c r="AG95" s="119">
        <v>12</v>
      </c>
      <c r="AH95" s="119">
        <v>18</v>
      </c>
      <c r="AI95" s="119">
        <v>23</v>
      </c>
      <c r="AJ95" s="119">
        <v>25</v>
      </c>
      <c r="AK95" s="119">
        <v>27</v>
      </c>
      <c r="AL95" s="119">
        <v>28</v>
      </c>
      <c r="AM95" s="119">
        <v>29</v>
      </c>
      <c r="AN95" s="119">
        <v>31</v>
      </c>
      <c r="AO95" s="119">
        <v>34</v>
      </c>
      <c r="AP95" s="119">
        <v>38</v>
      </c>
      <c r="AQ95" s="119">
        <v>43</v>
      </c>
      <c r="AR95" s="119">
        <v>51</v>
      </c>
      <c r="AS95" s="119">
        <v>48</v>
      </c>
      <c r="AT95" s="131">
        <v>30</v>
      </c>
      <c r="AU95" s="134">
        <v>12</v>
      </c>
      <c r="AV95" s="126">
        <v>51</v>
      </c>
      <c r="BB95" s="104">
        <v>0.585198</v>
      </c>
      <c r="BC95" s="83">
        <v>404.05270000000002</v>
      </c>
      <c r="BD95" s="83">
        <v>-84.838899999999995</v>
      </c>
      <c r="BE95" s="83">
        <v>125.61320000000001</v>
      </c>
      <c r="BF95" s="146">
        <v>-51.147460940000002</v>
      </c>
      <c r="BG95" s="146" t="s">
        <v>70</v>
      </c>
      <c r="BH95" s="147" t="s">
        <v>80</v>
      </c>
    </row>
    <row r="96" spans="1:60">
      <c r="A96" s="2">
        <v>46042</v>
      </c>
      <c r="B96" t="s">
        <v>90</v>
      </c>
      <c r="C96">
        <v>64069</v>
      </c>
      <c r="D96">
        <v>1615</v>
      </c>
      <c r="E96" t="s">
        <v>140</v>
      </c>
      <c r="F96" t="s">
        <v>46</v>
      </c>
      <c r="G96" t="s">
        <v>57</v>
      </c>
      <c r="H96" t="s">
        <v>54</v>
      </c>
      <c r="J96" t="s">
        <v>50</v>
      </c>
      <c r="O96" s="78">
        <v>16</v>
      </c>
      <c r="T96" s="104">
        <v>2</v>
      </c>
      <c r="U96" s="72">
        <v>-6.1819262500000001</v>
      </c>
      <c r="V96" s="72">
        <v>225.8770294</v>
      </c>
      <c r="W96" s="72">
        <f t="shared" si="6"/>
        <v>232.05895565</v>
      </c>
      <c r="X96" s="105">
        <v>1</v>
      </c>
      <c r="AE96" s="118">
        <v>0</v>
      </c>
      <c r="AF96" s="119">
        <v>16</v>
      </c>
      <c r="AG96" s="119">
        <v>30</v>
      </c>
      <c r="AH96" s="119">
        <v>36</v>
      </c>
      <c r="AI96" s="119">
        <v>28</v>
      </c>
      <c r="AJ96" s="119">
        <v>20</v>
      </c>
      <c r="AK96" s="119">
        <v>11</v>
      </c>
      <c r="AL96" s="119">
        <v>5</v>
      </c>
      <c r="AM96" s="119">
        <v>1</v>
      </c>
      <c r="AN96" s="119">
        <v>1</v>
      </c>
      <c r="AO96" s="119">
        <v>1</v>
      </c>
      <c r="AP96" s="119">
        <v>1</v>
      </c>
      <c r="AQ96" s="119">
        <v>1</v>
      </c>
      <c r="AR96" s="119">
        <v>1</v>
      </c>
      <c r="AS96" s="119">
        <v>1</v>
      </c>
      <c r="AT96" s="131">
        <v>1</v>
      </c>
      <c r="AU96" s="134">
        <v>16</v>
      </c>
      <c r="AV96" s="126">
        <v>36</v>
      </c>
      <c r="BB96" s="104">
        <v>0.42556699999999997</v>
      </c>
      <c r="BC96" s="83">
        <v>621.94820000000004</v>
      </c>
      <c r="BD96" s="83">
        <v>-112.91500000000001</v>
      </c>
      <c r="BE96" s="83">
        <v>119.08029999999999</v>
      </c>
      <c r="BF96" s="41">
        <v>-51.086425779999999</v>
      </c>
      <c r="BG96" s="41"/>
      <c r="BH96" s="39"/>
    </row>
    <row r="97" spans="1:60">
      <c r="A97" s="2">
        <v>46042</v>
      </c>
      <c r="B97" t="s">
        <v>90</v>
      </c>
      <c r="C97">
        <v>64069</v>
      </c>
      <c r="D97">
        <v>1616</v>
      </c>
      <c r="E97" t="s">
        <v>142</v>
      </c>
      <c r="F97" t="s">
        <v>46</v>
      </c>
      <c r="G97" t="s">
        <v>57</v>
      </c>
      <c r="H97" t="s">
        <v>54</v>
      </c>
      <c r="J97" t="s">
        <v>50</v>
      </c>
      <c r="O97" s="78">
        <v>17</v>
      </c>
      <c r="T97" s="104">
        <v>4</v>
      </c>
      <c r="U97" s="72">
        <v>-30.42055702</v>
      </c>
      <c r="V97" s="72">
        <v>355.75671390000002</v>
      </c>
      <c r="W97" s="72">
        <f t="shared" si="6"/>
        <v>386.17727092000001</v>
      </c>
      <c r="X97" s="105">
        <v>1</v>
      </c>
      <c r="AE97" s="118">
        <v>0</v>
      </c>
      <c r="AF97" s="119">
        <v>2</v>
      </c>
      <c r="AG97" s="119">
        <v>17</v>
      </c>
      <c r="AH97" s="119">
        <v>22</v>
      </c>
      <c r="AI97" s="119">
        <v>25</v>
      </c>
      <c r="AJ97" s="119">
        <v>27</v>
      </c>
      <c r="AK97" s="119">
        <v>29</v>
      </c>
      <c r="AL97" s="119">
        <v>31</v>
      </c>
      <c r="AM97" s="119">
        <v>34</v>
      </c>
      <c r="AN97" s="119">
        <v>37</v>
      </c>
      <c r="AO97" s="119">
        <v>35</v>
      </c>
      <c r="AP97" s="119">
        <v>8</v>
      </c>
      <c r="AQ97" s="119">
        <v>2</v>
      </c>
      <c r="AR97" s="119">
        <v>1</v>
      </c>
      <c r="AS97" s="119">
        <v>1</v>
      </c>
      <c r="AT97" s="131">
        <v>1</v>
      </c>
      <c r="AU97" s="134">
        <v>2</v>
      </c>
      <c r="AV97" s="126">
        <v>37</v>
      </c>
      <c r="BB97" s="104">
        <v>1.0817099999999999</v>
      </c>
      <c r="BC97" s="83">
        <v>411.9873</v>
      </c>
      <c r="BD97" s="83">
        <v>-53.1006</v>
      </c>
      <c r="BE97" s="83">
        <v>130.0009</v>
      </c>
      <c r="BF97" s="41">
        <v>-47.088623050000002</v>
      </c>
      <c r="BG97" s="41"/>
      <c r="BH97" s="39"/>
    </row>
    <row r="98" spans="1:60">
      <c r="A98" s="2">
        <v>46042</v>
      </c>
      <c r="B98" t="s">
        <v>90</v>
      </c>
      <c r="C98">
        <v>64069</v>
      </c>
      <c r="D98" s="19">
        <v>1617</v>
      </c>
      <c r="E98" t="s">
        <v>148</v>
      </c>
      <c r="F98" t="s">
        <v>46</v>
      </c>
      <c r="G98" t="s">
        <v>57</v>
      </c>
      <c r="H98" t="s">
        <v>54</v>
      </c>
      <c r="J98" t="s">
        <v>50</v>
      </c>
      <c r="O98" s="89" t="s">
        <v>59</v>
      </c>
      <c r="T98" s="104">
        <v>3</v>
      </c>
      <c r="U98" s="72">
        <v>-26.036123280000002</v>
      </c>
      <c r="V98" s="72">
        <v>125.8576202</v>
      </c>
      <c r="W98" s="72">
        <f t="shared" si="6"/>
        <v>151.89374348000001</v>
      </c>
      <c r="X98" s="105">
        <v>1</v>
      </c>
      <c r="AE98" s="118" t="s">
        <v>59</v>
      </c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31"/>
      <c r="AU98" s="136" t="s">
        <v>59</v>
      </c>
      <c r="AV98" s="126" t="s">
        <v>59</v>
      </c>
      <c r="BB98" s="104">
        <v>0.70739099999999999</v>
      </c>
      <c r="BC98" s="83">
        <v>332.03129999999999</v>
      </c>
      <c r="BD98" s="83">
        <v>-72.631799999999998</v>
      </c>
      <c r="BE98" s="83">
        <v>106.98739999999999</v>
      </c>
      <c r="BF98" s="146">
        <v>-53.649902339999997</v>
      </c>
      <c r="BG98" s="146" t="s">
        <v>70</v>
      </c>
      <c r="BH98" s="147"/>
    </row>
    <row r="99" spans="1:60">
      <c r="A99" s="2">
        <v>46042</v>
      </c>
      <c r="B99" t="s">
        <v>90</v>
      </c>
      <c r="C99">
        <v>64070</v>
      </c>
      <c r="D99" s="19">
        <v>1618</v>
      </c>
      <c r="E99" t="s">
        <v>184</v>
      </c>
      <c r="F99" t="s">
        <v>46</v>
      </c>
      <c r="G99" t="s">
        <v>57</v>
      </c>
      <c r="H99" t="s">
        <v>54</v>
      </c>
      <c r="I99" t="s">
        <v>185</v>
      </c>
      <c r="J99" t="s">
        <v>50</v>
      </c>
      <c r="O99" s="78">
        <v>5</v>
      </c>
      <c r="T99" s="104">
        <v>5</v>
      </c>
      <c r="U99" s="72">
        <v>-44.882274629999998</v>
      </c>
      <c r="V99" s="72">
        <v>469.92376710000002</v>
      </c>
      <c r="W99" s="72">
        <f t="shared" si="6"/>
        <v>514.80604173000006</v>
      </c>
      <c r="X99" s="105">
        <v>1</v>
      </c>
      <c r="AE99" s="118">
        <v>0</v>
      </c>
      <c r="AF99" s="119">
        <v>1</v>
      </c>
      <c r="AG99" s="119">
        <v>5</v>
      </c>
      <c r="AH99" s="119">
        <v>7</v>
      </c>
      <c r="AI99" s="119">
        <v>8</v>
      </c>
      <c r="AJ99" s="119">
        <v>8</v>
      </c>
      <c r="AK99" s="119">
        <v>6</v>
      </c>
      <c r="AL99" s="119">
        <v>8</v>
      </c>
      <c r="AM99" s="119">
        <v>5</v>
      </c>
      <c r="AN99" s="119">
        <v>4</v>
      </c>
      <c r="AO99" s="119">
        <v>2</v>
      </c>
      <c r="AP99" s="119">
        <v>1</v>
      </c>
      <c r="AQ99" s="119">
        <v>1</v>
      </c>
      <c r="AR99" s="119">
        <v>1</v>
      </c>
      <c r="AS99" s="119">
        <v>1</v>
      </c>
      <c r="AT99" s="131">
        <v>1</v>
      </c>
      <c r="AU99" s="134">
        <v>1</v>
      </c>
      <c r="AV99" s="126">
        <v>8</v>
      </c>
      <c r="BB99" s="104">
        <v>1.2561640000000001</v>
      </c>
      <c r="BC99" s="83">
        <v>269.77539999999999</v>
      </c>
      <c r="BD99" s="83">
        <v>-43.335000000000001</v>
      </c>
      <c r="BE99" s="83">
        <v>122.765</v>
      </c>
      <c r="BF99" s="146">
        <v>-48.431396479999997</v>
      </c>
      <c r="BG99" s="146" t="s">
        <v>70</v>
      </c>
      <c r="BH99" s="147" t="s">
        <v>75</v>
      </c>
    </row>
    <row r="100" spans="1:60">
      <c r="A100" s="2">
        <v>46042</v>
      </c>
      <c r="B100" t="s">
        <v>90</v>
      </c>
      <c r="C100">
        <v>64070</v>
      </c>
      <c r="D100">
        <v>1619</v>
      </c>
      <c r="E100" t="s">
        <v>186</v>
      </c>
      <c r="F100" t="s">
        <v>46</v>
      </c>
      <c r="G100" t="s">
        <v>57</v>
      </c>
      <c r="H100" t="s">
        <v>48</v>
      </c>
      <c r="I100" t="s">
        <v>187</v>
      </c>
      <c r="J100" t="s">
        <v>50</v>
      </c>
      <c r="O100" s="78">
        <v>11</v>
      </c>
      <c r="T100" s="104">
        <v>3</v>
      </c>
      <c r="U100" s="72">
        <v>-6.1353983879999996</v>
      </c>
      <c r="V100" s="72">
        <v>972.52478029999997</v>
      </c>
      <c r="W100" s="72">
        <f t="shared" si="6"/>
        <v>978.66017868799997</v>
      </c>
      <c r="X100" s="105">
        <v>1</v>
      </c>
      <c r="AE100" s="118">
        <v>0</v>
      </c>
      <c r="AF100" s="119">
        <v>0</v>
      </c>
      <c r="AG100" s="119">
        <v>0</v>
      </c>
      <c r="AH100" s="119">
        <v>3</v>
      </c>
      <c r="AI100" s="119">
        <v>11</v>
      </c>
      <c r="AJ100" s="119">
        <v>16</v>
      </c>
      <c r="AK100" s="119">
        <v>20</v>
      </c>
      <c r="AL100" s="119">
        <v>22</v>
      </c>
      <c r="AM100" s="119">
        <v>23</v>
      </c>
      <c r="AN100" s="119">
        <v>24</v>
      </c>
      <c r="AO100" s="119">
        <v>25</v>
      </c>
      <c r="AP100" s="119">
        <v>26</v>
      </c>
      <c r="AQ100" s="119">
        <v>26</v>
      </c>
      <c r="AR100" s="119">
        <v>27</v>
      </c>
      <c r="AS100" s="119">
        <v>27</v>
      </c>
      <c r="AT100" s="131">
        <v>27</v>
      </c>
      <c r="AU100" s="134">
        <v>3</v>
      </c>
      <c r="AV100" s="126">
        <v>27</v>
      </c>
      <c r="BB100" s="104">
        <v>0.37323000000000001</v>
      </c>
      <c r="BC100" s="83">
        <v>516.96780000000001</v>
      </c>
      <c r="BD100" s="83">
        <v>-114.136</v>
      </c>
      <c r="BE100" s="83">
        <v>114.544</v>
      </c>
      <c r="BF100" s="41">
        <v>-47.302246089999997</v>
      </c>
      <c r="BG100" s="41"/>
      <c r="BH100" s="39"/>
    </row>
    <row r="101" spans="1:60">
      <c r="A101" s="2">
        <v>46043</v>
      </c>
      <c r="B101" t="s">
        <v>90</v>
      </c>
      <c r="C101">
        <v>64290</v>
      </c>
      <c r="D101">
        <v>1620</v>
      </c>
      <c r="E101" t="s">
        <v>188</v>
      </c>
      <c r="F101" t="s">
        <v>46</v>
      </c>
      <c r="G101" t="s">
        <v>47</v>
      </c>
      <c r="H101" t="s">
        <v>48</v>
      </c>
      <c r="J101" t="s">
        <v>50</v>
      </c>
      <c r="O101" s="78">
        <v>20</v>
      </c>
      <c r="T101" s="104">
        <v>4</v>
      </c>
      <c r="U101" s="72">
        <v>-20.678730009999999</v>
      </c>
      <c r="V101" s="72">
        <v>1190.435913</v>
      </c>
      <c r="W101" s="72">
        <f t="shared" si="6"/>
        <v>1211.11464301</v>
      </c>
      <c r="X101" s="105">
        <v>1</v>
      </c>
      <c r="AE101" s="118">
        <v>0</v>
      </c>
      <c r="AF101" s="119">
        <v>0</v>
      </c>
      <c r="AG101" s="119">
        <v>0</v>
      </c>
      <c r="AH101" s="119">
        <v>3</v>
      </c>
      <c r="AI101" s="119">
        <v>11</v>
      </c>
      <c r="AJ101" s="119">
        <v>16</v>
      </c>
      <c r="AK101" s="119">
        <v>20</v>
      </c>
      <c r="AL101" s="119">
        <v>22</v>
      </c>
      <c r="AM101" s="119">
        <v>23</v>
      </c>
      <c r="AN101" s="119">
        <v>24</v>
      </c>
      <c r="AO101" s="119">
        <v>25</v>
      </c>
      <c r="AP101" s="119">
        <v>26</v>
      </c>
      <c r="AQ101" s="119">
        <v>26</v>
      </c>
      <c r="AR101" s="119">
        <v>27</v>
      </c>
      <c r="AS101" s="119">
        <v>27</v>
      </c>
      <c r="AT101" s="131">
        <v>27</v>
      </c>
      <c r="AU101" s="134">
        <v>3</v>
      </c>
      <c r="AV101" s="126">
        <v>27</v>
      </c>
      <c r="BB101" s="104">
        <v>0.48133999999999999</v>
      </c>
      <c r="BC101" s="83">
        <v>417.48050000000001</v>
      </c>
      <c r="BD101" s="83">
        <v>-102.539</v>
      </c>
      <c r="BE101" s="83">
        <v>117.779</v>
      </c>
      <c r="BF101" s="41">
        <v>-40.405273440000002</v>
      </c>
      <c r="BG101" s="41"/>
      <c r="BH101" s="39"/>
    </row>
    <row r="102" spans="1:60">
      <c r="A102" s="2">
        <v>46043</v>
      </c>
      <c r="B102" t="s">
        <v>44</v>
      </c>
      <c r="C102">
        <v>64290</v>
      </c>
      <c r="D102">
        <v>1621</v>
      </c>
      <c r="E102" t="s">
        <v>189</v>
      </c>
      <c r="F102" t="s">
        <v>46</v>
      </c>
      <c r="G102" t="s">
        <v>47</v>
      </c>
      <c r="H102" t="s">
        <v>48</v>
      </c>
      <c r="I102" t="s">
        <v>190</v>
      </c>
      <c r="J102" t="s">
        <v>50</v>
      </c>
      <c r="O102" s="78">
        <v>3</v>
      </c>
      <c r="T102" s="104">
        <v>4</v>
      </c>
      <c r="U102" s="72">
        <v>-75.666816710000006</v>
      </c>
      <c r="V102" s="72">
        <v>1617.541138</v>
      </c>
      <c r="W102" s="72">
        <f t="shared" si="6"/>
        <v>1693.20795471</v>
      </c>
      <c r="X102" s="105">
        <v>1</v>
      </c>
      <c r="AE102" s="118">
        <v>0</v>
      </c>
      <c r="AF102" s="119">
        <v>0</v>
      </c>
      <c r="AG102" s="119">
        <v>0</v>
      </c>
      <c r="AH102" s="119">
        <v>0</v>
      </c>
      <c r="AI102" s="119">
        <v>0</v>
      </c>
      <c r="AJ102" s="119">
        <v>0</v>
      </c>
      <c r="AK102" s="119">
        <v>0</v>
      </c>
      <c r="AL102" s="119">
        <v>3</v>
      </c>
      <c r="AM102" s="119">
        <v>7</v>
      </c>
      <c r="AN102" s="119">
        <v>9</v>
      </c>
      <c r="AO102" s="119">
        <v>11</v>
      </c>
      <c r="AP102" s="119">
        <v>16</v>
      </c>
      <c r="AQ102" s="119">
        <v>16</v>
      </c>
      <c r="AR102" s="119">
        <v>18</v>
      </c>
      <c r="AS102" s="119">
        <v>19</v>
      </c>
      <c r="AT102" s="131">
        <v>18</v>
      </c>
      <c r="AU102" s="134">
        <v>3</v>
      </c>
      <c r="AV102" s="126">
        <v>19</v>
      </c>
      <c r="BB102" s="104">
        <v>0.61642699999999995</v>
      </c>
      <c r="BC102" s="83">
        <v>380.24900000000002</v>
      </c>
      <c r="BD102" s="83">
        <v>-87.280299999999997</v>
      </c>
      <c r="BE102" s="83">
        <v>124.62869999999999</v>
      </c>
      <c r="BF102" s="41">
        <v>-46.325683589999997</v>
      </c>
      <c r="BG102" s="41"/>
      <c r="BH102" s="39"/>
    </row>
    <row r="103" spans="1:60">
      <c r="A103" s="2">
        <v>46043</v>
      </c>
      <c r="B103" t="s">
        <v>90</v>
      </c>
      <c r="C103">
        <v>64290</v>
      </c>
      <c r="D103" s="19">
        <v>1622</v>
      </c>
      <c r="E103" t="s">
        <v>191</v>
      </c>
      <c r="F103" t="s">
        <v>46</v>
      </c>
      <c r="G103" t="s">
        <v>47</v>
      </c>
      <c r="H103" t="s">
        <v>48</v>
      </c>
      <c r="J103" t="s">
        <v>50</v>
      </c>
      <c r="O103" s="78">
        <v>4</v>
      </c>
      <c r="T103" s="104">
        <v>5</v>
      </c>
      <c r="U103" s="72">
        <v>-152.11560059999999</v>
      </c>
      <c r="V103" s="72">
        <v>260.26016240000001</v>
      </c>
      <c r="W103" s="72">
        <f t="shared" si="6"/>
        <v>412.37576300000001</v>
      </c>
      <c r="X103" s="105">
        <v>1</v>
      </c>
      <c r="AE103" s="118">
        <v>0</v>
      </c>
      <c r="AF103" s="119">
        <v>2</v>
      </c>
      <c r="AG103" s="119">
        <v>4</v>
      </c>
      <c r="AH103" s="119">
        <v>8</v>
      </c>
      <c r="AI103" s="119">
        <v>14</v>
      </c>
      <c r="AJ103" s="119">
        <v>16</v>
      </c>
      <c r="AK103" s="119">
        <v>19</v>
      </c>
      <c r="AL103" s="119">
        <v>23</v>
      </c>
      <c r="AM103" s="119">
        <v>27</v>
      </c>
      <c r="AN103" s="119">
        <v>20</v>
      </c>
      <c r="AO103" s="119">
        <v>26</v>
      </c>
      <c r="AP103" s="119">
        <v>15</v>
      </c>
      <c r="AQ103" s="119">
        <v>10</v>
      </c>
      <c r="AR103" s="119">
        <v>6</v>
      </c>
      <c r="AS103" s="119">
        <v>4</v>
      </c>
      <c r="AT103" s="131">
        <v>3</v>
      </c>
      <c r="AU103" s="134">
        <v>2</v>
      </c>
      <c r="AV103" s="126">
        <v>27</v>
      </c>
      <c r="BB103" s="104">
        <v>0.22194700000000001</v>
      </c>
      <c r="BC103" s="83">
        <v>339.9658</v>
      </c>
      <c r="BD103" s="83">
        <v>-226.44</v>
      </c>
      <c r="BE103" s="83">
        <v>103.41670000000001</v>
      </c>
      <c r="BF103" s="146">
        <v>-36.407470699999998</v>
      </c>
      <c r="BG103" s="146" t="s">
        <v>70</v>
      </c>
      <c r="BH103" s="147" t="s">
        <v>146</v>
      </c>
    </row>
    <row r="104" spans="1:60">
      <c r="A104" s="2">
        <v>46043</v>
      </c>
      <c r="B104" t="s">
        <v>44</v>
      </c>
      <c r="C104">
        <v>64290</v>
      </c>
      <c r="D104">
        <v>1623</v>
      </c>
      <c r="E104" t="s">
        <v>107</v>
      </c>
      <c r="F104" t="s">
        <v>46</v>
      </c>
      <c r="G104" t="s">
        <v>47</v>
      </c>
      <c r="H104" t="s">
        <v>48</v>
      </c>
      <c r="I104" t="s">
        <v>192</v>
      </c>
      <c r="J104" t="s">
        <v>50</v>
      </c>
      <c r="O104" s="78">
        <v>14</v>
      </c>
      <c r="T104" s="104">
        <v>7</v>
      </c>
      <c r="U104" s="72">
        <v>-125.27370449999999</v>
      </c>
      <c r="V104" s="72">
        <v>532.33612059999996</v>
      </c>
      <c r="W104" s="72">
        <f t="shared" si="6"/>
        <v>657.60982509999997</v>
      </c>
      <c r="X104" s="105">
        <v>1</v>
      </c>
      <c r="AE104" s="118">
        <v>0</v>
      </c>
      <c r="AF104" s="119">
        <v>0</v>
      </c>
      <c r="AG104" s="119">
        <v>0</v>
      </c>
      <c r="AH104" s="119">
        <v>3</v>
      </c>
      <c r="AI104" s="119">
        <v>14</v>
      </c>
      <c r="AJ104" s="119">
        <v>19</v>
      </c>
      <c r="AK104" s="119">
        <v>23</v>
      </c>
      <c r="AL104" s="119">
        <v>26</v>
      </c>
      <c r="AM104" s="119">
        <v>29</v>
      </c>
      <c r="AN104" s="119">
        <v>31</v>
      </c>
      <c r="AO104" s="119">
        <v>33</v>
      </c>
      <c r="AP104" s="119">
        <v>38</v>
      </c>
      <c r="AQ104" s="119">
        <v>45</v>
      </c>
      <c r="AR104" s="119">
        <v>48</v>
      </c>
      <c r="AS104" s="119">
        <v>33</v>
      </c>
      <c r="AT104" s="131">
        <v>7</v>
      </c>
      <c r="AU104" s="134">
        <v>3</v>
      </c>
      <c r="AV104" s="126">
        <v>48</v>
      </c>
      <c r="BB104" s="104">
        <v>0.57319600000000004</v>
      </c>
      <c r="BC104" s="83">
        <v>461.42579999999998</v>
      </c>
      <c r="BD104" s="83">
        <v>-91.552700000000002</v>
      </c>
      <c r="BE104" s="83">
        <v>129.52670000000001</v>
      </c>
      <c r="BF104" s="41">
        <v>-46.295166020000003</v>
      </c>
      <c r="BG104" s="41"/>
      <c r="BH104" s="39"/>
    </row>
    <row r="105" spans="1:60">
      <c r="A105" s="2">
        <v>46043</v>
      </c>
      <c r="B105" t="s">
        <v>44</v>
      </c>
      <c r="C105">
        <v>64290</v>
      </c>
      <c r="D105">
        <v>1624</v>
      </c>
      <c r="E105" t="s">
        <v>116</v>
      </c>
      <c r="F105" t="s">
        <v>46</v>
      </c>
      <c r="G105" t="s">
        <v>47</v>
      </c>
      <c r="H105" t="s">
        <v>48</v>
      </c>
      <c r="I105" t="s">
        <v>193</v>
      </c>
      <c r="J105" t="s">
        <v>50</v>
      </c>
      <c r="O105" s="78">
        <v>3</v>
      </c>
      <c r="T105" s="104">
        <v>3</v>
      </c>
      <c r="U105" s="72">
        <v>-75.68450928</v>
      </c>
      <c r="V105" s="72">
        <v>682.98339840000006</v>
      </c>
      <c r="W105" s="72">
        <f t="shared" si="6"/>
        <v>758.6679076800001</v>
      </c>
      <c r="X105" s="105">
        <v>1</v>
      </c>
      <c r="AE105" s="118">
        <v>0</v>
      </c>
      <c r="AF105" s="119">
        <v>0</v>
      </c>
      <c r="AG105" s="119">
        <v>0</v>
      </c>
      <c r="AH105" s="119">
        <v>0</v>
      </c>
      <c r="AI105" s="119">
        <v>3</v>
      </c>
      <c r="AJ105" s="119">
        <v>9</v>
      </c>
      <c r="AK105" s="119">
        <v>13</v>
      </c>
      <c r="AL105" s="119">
        <v>18</v>
      </c>
      <c r="AM105" s="119">
        <v>21</v>
      </c>
      <c r="AN105" s="119">
        <v>22</v>
      </c>
      <c r="AO105" s="119">
        <v>23</v>
      </c>
      <c r="AP105" s="119">
        <v>27</v>
      </c>
      <c r="AQ105" s="119">
        <v>24</v>
      </c>
      <c r="AR105" s="119">
        <v>22</v>
      </c>
      <c r="AS105" s="119">
        <v>20</v>
      </c>
      <c r="AT105" s="131">
        <v>19</v>
      </c>
      <c r="AU105" s="134">
        <v>3</v>
      </c>
      <c r="AV105" s="126">
        <v>27</v>
      </c>
      <c r="BB105" s="104">
        <v>0.52215699999999998</v>
      </c>
      <c r="BC105" s="83">
        <v>520.62990000000002</v>
      </c>
      <c r="BD105" s="83">
        <v>-95.214799999999997</v>
      </c>
      <c r="BE105" s="83">
        <v>125.05540000000001</v>
      </c>
      <c r="BF105" s="41">
        <v>-41.229248050000002</v>
      </c>
      <c r="BG105" s="41"/>
      <c r="BH105" s="39"/>
    </row>
    <row r="106" spans="1:60">
      <c r="A106" s="2">
        <v>46043</v>
      </c>
      <c r="B106" t="s">
        <v>90</v>
      </c>
      <c r="C106">
        <v>64291</v>
      </c>
      <c r="D106" s="19">
        <v>1625</v>
      </c>
      <c r="E106" t="s">
        <v>194</v>
      </c>
      <c r="F106" t="s">
        <v>46</v>
      </c>
      <c r="G106" t="s">
        <v>47</v>
      </c>
      <c r="H106" t="s">
        <v>54</v>
      </c>
      <c r="J106" t="s">
        <v>50</v>
      </c>
      <c r="O106" s="4"/>
      <c r="T106" s="104">
        <v>4</v>
      </c>
      <c r="U106" s="72">
        <v>-395.05230710000001</v>
      </c>
      <c r="V106" s="72">
        <v>-8.4979715349999996</v>
      </c>
      <c r="W106" s="72">
        <f t="shared" si="6"/>
        <v>386.55433556500003</v>
      </c>
      <c r="X106" s="105">
        <v>1</v>
      </c>
      <c r="AE106" s="118">
        <v>0</v>
      </c>
      <c r="AF106" s="119">
        <v>0</v>
      </c>
      <c r="AG106" s="119">
        <v>1</v>
      </c>
      <c r="AH106" s="119">
        <v>1</v>
      </c>
      <c r="AI106" s="119">
        <v>1</v>
      </c>
      <c r="AJ106" s="119">
        <v>1</v>
      </c>
      <c r="AK106" s="119">
        <v>1</v>
      </c>
      <c r="AL106" s="119">
        <v>1</v>
      </c>
      <c r="AM106" s="119">
        <v>1</v>
      </c>
      <c r="AN106" s="119">
        <v>1</v>
      </c>
      <c r="AO106" s="119">
        <v>1</v>
      </c>
      <c r="AP106" s="119">
        <v>1</v>
      </c>
      <c r="AQ106" s="119">
        <v>1</v>
      </c>
      <c r="AR106" s="119">
        <v>1</v>
      </c>
      <c r="AS106" s="119">
        <v>1</v>
      </c>
      <c r="AT106" s="131">
        <v>1</v>
      </c>
      <c r="AU106" s="134">
        <v>1</v>
      </c>
      <c r="AV106" s="126">
        <v>1</v>
      </c>
      <c r="BB106" s="104">
        <v>0.52215699999999998</v>
      </c>
      <c r="BC106" s="83">
        <v>520.62990000000002</v>
      </c>
      <c r="BD106" s="83">
        <v>-95.214799999999997</v>
      </c>
      <c r="BE106" s="83">
        <v>125.05540000000001</v>
      </c>
      <c r="BF106" s="146">
        <v>-49.926757809999998</v>
      </c>
      <c r="BG106" s="146" t="s">
        <v>70</v>
      </c>
      <c r="BH106" s="147" t="s">
        <v>146</v>
      </c>
    </row>
    <row r="107" spans="1:60">
      <c r="A107" s="2">
        <v>46043</v>
      </c>
      <c r="B107" t="s">
        <v>44</v>
      </c>
      <c r="C107">
        <v>64291</v>
      </c>
      <c r="D107">
        <v>1626</v>
      </c>
      <c r="E107" t="s">
        <v>117</v>
      </c>
      <c r="F107" t="s">
        <v>46</v>
      </c>
      <c r="G107" t="s">
        <v>47</v>
      </c>
      <c r="H107" t="s">
        <v>54</v>
      </c>
      <c r="I107" t="s">
        <v>195</v>
      </c>
      <c r="J107" t="s">
        <v>50</v>
      </c>
      <c r="O107" s="78">
        <v>3</v>
      </c>
      <c r="T107" s="104">
        <v>3</v>
      </c>
      <c r="U107" s="72">
        <v>-125.27828220000001</v>
      </c>
      <c r="V107" s="72">
        <v>1138.650024</v>
      </c>
      <c r="W107" s="72">
        <f t="shared" si="6"/>
        <v>1263.9283062</v>
      </c>
      <c r="X107" s="105">
        <v>1</v>
      </c>
      <c r="AE107" s="118">
        <v>0</v>
      </c>
      <c r="AF107" s="119">
        <v>0</v>
      </c>
      <c r="AG107" s="119">
        <v>0</v>
      </c>
      <c r="AH107" s="119">
        <v>0</v>
      </c>
      <c r="AI107" s="119">
        <v>0</v>
      </c>
      <c r="AJ107" s="119">
        <v>3</v>
      </c>
      <c r="AK107" s="119">
        <v>8</v>
      </c>
      <c r="AL107" s="119">
        <v>11</v>
      </c>
      <c r="AM107" s="119">
        <v>14</v>
      </c>
      <c r="AN107" s="119">
        <v>16</v>
      </c>
      <c r="AO107" s="119">
        <v>18</v>
      </c>
      <c r="AP107" s="119">
        <v>21</v>
      </c>
      <c r="AQ107" s="119">
        <v>21</v>
      </c>
      <c r="AR107" s="119">
        <v>21</v>
      </c>
      <c r="AS107" s="119">
        <v>16</v>
      </c>
      <c r="AT107" s="131">
        <v>15</v>
      </c>
      <c r="AU107" s="134">
        <v>3</v>
      </c>
      <c r="AV107" s="126">
        <v>21</v>
      </c>
      <c r="BB107" s="104">
        <v>0.65787799999999996</v>
      </c>
      <c r="BC107" s="83">
        <v>348.51069999999999</v>
      </c>
      <c r="BD107" s="83">
        <v>-106.20099999999999</v>
      </c>
      <c r="BE107" s="83">
        <v>127.6571</v>
      </c>
      <c r="BF107" s="41">
        <v>-41.564941410000003</v>
      </c>
      <c r="BG107" s="41"/>
      <c r="BH107" s="39"/>
    </row>
    <row r="108" spans="1:60">
      <c r="A108" s="2">
        <v>46043</v>
      </c>
      <c r="B108" t="s">
        <v>90</v>
      </c>
      <c r="C108">
        <v>64291</v>
      </c>
      <c r="D108">
        <v>1627</v>
      </c>
      <c r="E108" t="s">
        <v>196</v>
      </c>
      <c r="F108" t="s">
        <v>46</v>
      </c>
      <c r="G108" t="s">
        <v>47</v>
      </c>
      <c r="H108" t="s">
        <v>54</v>
      </c>
      <c r="J108" t="s">
        <v>50</v>
      </c>
      <c r="O108" s="78">
        <v>10</v>
      </c>
      <c r="T108" s="104">
        <v>3</v>
      </c>
      <c r="U108" s="72">
        <v>-35.280944820000002</v>
      </c>
      <c r="V108" s="72">
        <v>273.78179929999999</v>
      </c>
      <c r="W108" s="72">
        <f t="shared" si="6"/>
        <v>309.06274411999999</v>
      </c>
      <c r="X108" s="105">
        <v>1</v>
      </c>
      <c r="AE108" s="118">
        <v>0</v>
      </c>
      <c r="AF108" s="119">
        <v>10</v>
      </c>
      <c r="AG108" s="119">
        <v>15</v>
      </c>
      <c r="AH108" s="119">
        <v>15</v>
      </c>
      <c r="AI108" s="119">
        <v>15</v>
      </c>
      <c r="AJ108" s="119">
        <v>1</v>
      </c>
      <c r="AK108" s="119">
        <v>1</v>
      </c>
      <c r="AL108" s="119">
        <v>1</v>
      </c>
      <c r="AM108" s="119">
        <v>1</v>
      </c>
      <c r="AN108" s="119">
        <v>1</v>
      </c>
      <c r="AO108" s="119">
        <v>1</v>
      </c>
      <c r="AP108" s="119">
        <v>1</v>
      </c>
      <c r="AQ108" s="119">
        <v>1</v>
      </c>
      <c r="AR108" s="119">
        <v>1</v>
      </c>
      <c r="AS108" s="119">
        <v>1</v>
      </c>
      <c r="AT108" s="131">
        <v>1</v>
      </c>
      <c r="AU108" s="134">
        <v>10</v>
      </c>
      <c r="AV108" s="126">
        <v>15</v>
      </c>
      <c r="BB108" s="104">
        <v>1.274778</v>
      </c>
      <c r="BC108" s="83">
        <v>209.96090000000001</v>
      </c>
      <c r="BD108" s="83">
        <v>-36.0107</v>
      </c>
      <c r="BE108" s="83">
        <v>115.71639999999999</v>
      </c>
      <c r="BF108" s="41">
        <v>-44.952392580000001</v>
      </c>
      <c r="BG108" s="41"/>
      <c r="BH108" s="39"/>
    </row>
    <row r="109" spans="1:60">
      <c r="A109" s="2">
        <v>46044</v>
      </c>
      <c r="B109" t="s">
        <v>44</v>
      </c>
      <c r="C109">
        <v>64282</v>
      </c>
      <c r="D109">
        <v>1628</v>
      </c>
      <c r="E109" t="s">
        <v>197</v>
      </c>
      <c r="F109" t="s">
        <v>65</v>
      </c>
      <c r="G109" t="s">
        <v>57</v>
      </c>
      <c r="H109" t="s">
        <v>54</v>
      </c>
      <c r="I109" t="s">
        <v>198</v>
      </c>
      <c r="J109" t="s">
        <v>50</v>
      </c>
      <c r="O109" s="78">
        <v>16</v>
      </c>
      <c r="T109" s="104">
        <v>5</v>
      </c>
      <c r="U109" s="72">
        <v>-125.3900986</v>
      </c>
      <c r="V109" s="72">
        <v>127.79822540000001</v>
      </c>
      <c r="W109" s="72">
        <f t="shared" si="6"/>
        <v>253.18832400000002</v>
      </c>
      <c r="X109" s="105">
        <v>1</v>
      </c>
      <c r="AE109" s="118">
        <v>0</v>
      </c>
      <c r="AF109" s="119">
        <v>0</v>
      </c>
      <c r="AG109" s="119">
        <v>3</v>
      </c>
      <c r="AH109" s="119">
        <v>16</v>
      </c>
      <c r="AI109" s="119">
        <v>27</v>
      </c>
      <c r="AJ109" s="119">
        <v>31</v>
      </c>
      <c r="AK109" s="119">
        <v>36</v>
      </c>
      <c r="AL109" s="119">
        <v>39</v>
      </c>
      <c r="AM109" s="119">
        <v>33</v>
      </c>
      <c r="AN109" s="119">
        <v>38</v>
      </c>
      <c r="AO109" s="119">
        <v>29</v>
      </c>
      <c r="AP109" s="119">
        <v>10</v>
      </c>
      <c r="AQ109" s="119">
        <v>7</v>
      </c>
      <c r="AR109" s="119">
        <v>3</v>
      </c>
      <c r="AS109" s="119">
        <v>2</v>
      </c>
      <c r="AT109" s="131">
        <v>1</v>
      </c>
      <c r="AU109" s="134">
        <v>3</v>
      </c>
      <c r="AV109" s="126">
        <v>39</v>
      </c>
      <c r="BB109" s="104">
        <v>0.66329000000000005</v>
      </c>
      <c r="BC109" s="83">
        <v>413.20800000000003</v>
      </c>
      <c r="BD109" s="83">
        <v>-90.331999999999994</v>
      </c>
      <c r="BE109" s="83">
        <v>121.4545</v>
      </c>
      <c r="BF109" s="41">
        <v>-49.102783199999998</v>
      </c>
      <c r="BG109" s="41"/>
      <c r="BH109" s="39"/>
    </row>
    <row r="110" spans="1:60">
      <c r="A110" s="2">
        <v>46044</v>
      </c>
      <c r="B110" t="s">
        <v>90</v>
      </c>
      <c r="C110">
        <v>64282</v>
      </c>
      <c r="D110" s="19">
        <v>1629</v>
      </c>
      <c r="E110" t="s">
        <v>199</v>
      </c>
      <c r="F110" t="s">
        <v>65</v>
      </c>
      <c r="G110" t="s">
        <v>57</v>
      </c>
      <c r="H110" t="s">
        <v>54</v>
      </c>
      <c r="J110" t="s">
        <v>50</v>
      </c>
      <c r="O110" s="78">
        <v>3</v>
      </c>
      <c r="T110" s="104">
        <v>2</v>
      </c>
      <c r="U110" s="72">
        <v>-54.659950260000002</v>
      </c>
      <c r="V110" s="72">
        <v>176.9237061</v>
      </c>
      <c r="W110" s="72">
        <f t="shared" si="6"/>
        <v>231.58365636000002</v>
      </c>
      <c r="X110" s="105">
        <v>1</v>
      </c>
      <c r="AE110" s="118">
        <v>0</v>
      </c>
      <c r="AF110" s="119">
        <v>0</v>
      </c>
      <c r="AG110" s="119">
        <v>3</v>
      </c>
      <c r="AH110" s="119">
        <v>95</v>
      </c>
      <c r="AI110" s="119">
        <v>127</v>
      </c>
      <c r="AJ110" s="119">
        <v>156</v>
      </c>
      <c r="AK110" s="119">
        <v>178</v>
      </c>
      <c r="AL110" s="119">
        <v>202</v>
      </c>
      <c r="AM110" s="119">
        <v>215</v>
      </c>
      <c r="AN110" s="119">
        <v>227</v>
      </c>
      <c r="AO110" s="119">
        <v>235</v>
      </c>
      <c r="AP110" s="119">
        <v>240</v>
      </c>
      <c r="AQ110" s="119">
        <v>160</v>
      </c>
      <c r="AR110" s="119">
        <v>81</v>
      </c>
      <c r="AS110" s="119">
        <v>45</v>
      </c>
      <c r="AT110" s="131">
        <v>22</v>
      </c>
      <c r="AU110" s="134">
        <v>3</v>
      </c>
      <c r="AV110" s="126">
        <v>240</v>
      </c>
      <c r="BB110" s="104">
        <v>0.16975799999999999</v>
      </c>
      <c r="BC110" s="83">
        <v>584.10640000000001</v>
      </c>
      <c r="BD110" s="83">
        <v>-455.322</v>
      </c>
      <c r="BE110" s="83">
        <v>109.837</v>
      </c>
      <c r="BF110" s="146">
        <v>-42.053222660000003</v>
      </c>
      <c r="BG110" s="146" t="s">
        <v>70</v>
      </c>
      <c r="BH110" s="147" t="s">
        <v>200</v>
      </c>
    </row>
    <row r="111" spans="1:60">
      <c r="A111" s="2">
        <v>46044</v>
      </c>
      <c r="B111" t="s">
        <v>90</v>
      </c>
      <c r="C111">
        <v>64283</v>
      </c>
      <c r="D111">
        <v>1630</v>
      </c>
      <c r="E111" t="s">
        <v>201</v>
      </c>
      <c r="F111" t="s">
        <v>65</v>
      </c>
      <c r="G111" t="s">
        <v>57</v>
      </c>
      <c r="H111" t="s">
        <v>48</v>
      </c>
      <c r="I111" t="s">
        <v>202</v>
      </c>
      <c r="J111" t="s">
        <v>50</v>
      </c>
      <c r="O111" s="78">
        <v>2</v>
      </c>
      <c r="T111" s="104">
        <v>3</v>
      </c>
      <c r="U111" s="72">
        <v>-35.235637660000002</v>
      </c>
      <c r="V111" s="72">
        <v>737.2890625</v>
      </c>
      <c r="W111" s="72">
        <f t="shared" si="6"/>
        <v>772.52470015999995</v>
      </c>
      <c r="X111" s="105">
        <v>1</v>
      </c>
      <c r="AE111" s="118">
        <v>0</v>
      </c>
      <c r="AF111" s="119">
        <v>0</v>
      </c>
      <c r="AG111" s="119">
        <v>0</v>
      </c>
      <c r="AH111" s="119">
        <v>0</v>
      </c>
      <c r="AI111" s="119">
        <v>2</v>
      </c>
      <c r="AJ111" s="119">
        <v>8</v>
      </c>
      <c r="AK111" s="119">
        <v>14</v>
      </c>
      <c r="AL111" s="119">
        <v>19</v>
      </c>
      <c r="AM111" s="119">
        <v>22</v>
      </c>
      <c r="AN111" s="119">
        <v>25</v>
      </c>
      <c r="AO111" s="119">
        <v>29</v>
      </c>
      <c r="AP111" s="119">
        <v>32</v>
      </c>
      <c r="AQ111" s="119">
        <v>32</v>
      </c>
      <c r="AR111" s="119">
        <v>33</v>
      </c>
      <c r="AS111" s="119">
        <v>33</v>
      </c>
      <c r="AT111" s="131">
        <v>30</v>
      </c>
      <c r="AU111" s="134">
        <v>2</v>
      </c>
      <c r="AV111" s="126">
        <v>33</v>
      </c>
      <c r="BB111" s="104">
        <v>0.54786299999999999</v>
      </c>
      <c r="BC111" s="83">
        <v>467.52929999999998</v>
      </c>
      <c r="BD111" s="83">
        <v>-97.656300000000002</v>
      </c>
      <c r="BE111" s="83">
        <v>120.3536</v>
      </c>
      <c r="BF111" s="41">
        <v>-47.424316410000003</v>
      </c>
      <c r="BG111" s="41"/>
      <c r="BH111" s="39"/>
    </row>
    <row r="112" spans="1:60">
      <c r="A112" s="2">
        <v>46044</v>
      </c>
      <c r="B112" t="s">
        <v>90</v>
      </c>
      <c r="C112">
        <v>64283</v>
      </c>
      <c r="D112">
        <v>1631</v>
      </c>
      <c r="E112" t="s">
        <v>203</v>
      </c>
      <c r="F112" t="s">
        <v>65</v>
      </c>
      <c r="G112" t="s">
        <v>57</v>
      </c>
      <c r="H112" t="s">
        <v>48</v>
      </c>
      <c r="I112" t="s">
        <v>204</v>
      </c>
      <c r="J112" t="s">
        <v>50</v>
      </c>
      <c r="O112" s="78">
        <v>7</v>
      </c>
      <c r="T112" s="104">
        <v>4</v>
      </c>
      <c r="U112" s="72">
        <v>-43.493766780000001</v>
      </c>
      <c r="V112" s="72">
        <v>338.83901980000002</v>
      </c>
      <c r="W112" s="72">
        <f t="shared" si="6"/>
        <v>382.33278658</v>
      </c>
      <c r="X112" s="105">
        <v>1</v>
      </c>
      <c r="AE112" s="118">
        <v>0</v>
      </c>
      <c r="AF112" s="119">
        <v>0</v>
      </c>
      <c r="AG112" s="119">
        <v>7</v>
      </c>
      <c r="AH112" s="119">
        <v>14</v>
      </c>
      <c r="AI112" s="119">
        <v>15</v>
      </c>
      <c r="AJ112" s="119">
        <v>14</v>
      </c>
      <c r="AK112" s="119">
        <v>12</v>
      </c>
      <c r="AL112" s="119">
        <v>10</v>
      </c>
      <c r="AM112" s="119">
        <v>10</v>
      </c>
      <c r="AN112" s="119">
        <v>8</v>
      </c>
      <c r="AO112" s="119">
        <v>8</v>
      </c>
      <c r="AP112" s="119">
        <v>2</v>
      </c>
      <c r="AQ112" s="119">
        <v>2</v>
      </c>
      <c r="AR112" s="119">
        <v>2</v>
      </c>
      <c r="AS112" s="119">
        <v>1</v>
      </c>
      <c r="AT112" s="131">
        <v>1</v>
      </c>
      <c r="AU112" s="134">
        <v>7</v>
      </c>
      <c r="AV112" s="126">
        <v>15</v>
      </c>
      <c r="BB112" s="104">
        <v>0.93681599999999998</v>
      </c>
      <c r="BC112" s="83">
        <v>264.89260000000002</v>
      </c>
      <c r="BD112" s="83">
        <v>-54.321300000000001</v>
      </c>
      <c r="BE112" s="83">
        <v>112.5394</v>
      </c>
      <c r="BF112" s="41">
        <v>-38.0859375</v>
      </c>
      <c r="BG112" s="41"/>
      <c r="BH112" s="39"/>
    </row>
    <row r="113" spans="1:60">
      <c r="A113" s="2">
        <v>46044</v>
      </c>
      <c r="B113" t="s">
        <v>90</v>
      </c>
      <c r="C113">
        <v>64283</v>
      </c>
      <c r="D113">
        <v>1632</v>
      </c>
      <c r="E113" t="s">
        <v>205</v>
      </c>
      <c r="F113" t="s">
        <v>65</v>
      </c>
      <c r="G113" t="s">
        <v>57</v>
      </c>
      <c r="H113" t="s">
        <v>48</v>
      </c>
      <c r="I113" t="s">
        <v>206</v>
      </c>
      <c r="J113" t="s">
        <v>50</v>
      </c>
      <c r="O113" s="78">
        <v>6</v>
      </c>
      <c r="T113" s="104">
        <v>6</v>
      </c>
      <c r="U113" s="72">
        <v>-44.922393800000002</v>
      </c>
      <c r="V113" s="72">
        <v>701.9981689</v>
      </c>
      <c r="W113" s="72">
        <f t="shared" si="6"/>
        <v>746.9205627</v>
      </c>
      <c r="X113" s="105">
        <v>1</v>
      </c>
      <c r="AE113" s="118">
        <v>0</v>
      </c>
      <c r="AF113" s="119">
        <v>0</v>
      </c>
      <c r="AG113" s="119">
        <v>6</v>
      </c>
      <c r="AH113" s="119">
        <v>6</v>
      </c>
      <c r="AI113" s="119">
        <v>10</v>
      </c>
      <c r="AJ113" s="119">
        <v>13</v>
      </c>
      <c r="AK113" s="119">
        <v>15</v>
      </c>
      <c r="AL113" s="119">
        <v>16</v>
      </c>
      <c r="AM113" s="119">
        <v>16</v>
      </c>
      <c r="AN113" s="119">
        <v>14</v>
      </c>
      <c r="AO113" s="119">
        <v>16</v>
      </c>
      <c r="AP113" s="119">
        <v>16</v>
      </c>
      <c r="AQ113" s="119">
        <v>2</v>
      </c>
      <c r="AR113" s="119">
        <v>2</v>
      </c>
      <c r="AS113" s="119">
        <v>2</v>
      </c>
      <c r="AT113" s="131">
        <v>2</v>
      </c>
      <c r="AU113" s="134">
        <v>6</v>
      </c>
      <c r="AV113" s="126">
        <v>16</v>
      </c>
      <c r="BB113" s="104">
        <v>0.44532300000000002</v>
      </c>
      <c r="BC113" s="83">
        <v>524.90229999999997</v>
      </c>
      <c r="BD113" s="83">
        <v>-101.929</v>
      </c>
      <c r="BE113" s="83">
        <v>111.55200000000001</v>
      </c>
      <c r="BF113" s="41">
        <v>-41.961669919999999</v>
      </c>
      <c r="BG113" s="41"/>
      <c r="BH113" s="39"/>
    </row>
    <row r="114" spans="1:60">
      <c r="A114" s="2">
        <v>46045</v>
      </c>
      <c r="B114" t="s">
        <v>69</v>
      </c>
      <c r="C114">
        <v>64292</v>
      </c>
      <c r="D114" s="19">
        <v>1633</v>
      </c>
      <c r="E114" t="s">
        <v>207</v>
      </c>
      <c r="F114" t="s">
        <v>46</v>
      </c>
      <c r="G114" t="s">
        <v>57</v>
      </c>
      <c r="H114" t="s">
        <v>54</v>
      </c>
      <c r="I114" t="s">
        <v>208</v>
      </c>
      <c r="J114" t="s">
        <v>50</v>
      </c>
      <c r="O114" s="78">
        <v>0</v>
      </c>
      <c r="T114" s="104">
        <v>3</v>
      </c>
      <c r="U114" s="72">
        <v>-139.89331050000001</v>
      </c>
      <c r="V114" s="72">
        <v>62.756660459999999</v>
      </c>
      <c r="W114" s="72">
        <f t="shared" si="6"/>
        <v>202.64997096000002</v>
      </c>
      <c r="X114" s="105">
        <v>1</v>
      </c>
      <c r="AE114" s="118">
        <v>0</v>
      </c>
      <c r="AF114" s="119">
        <v>0</v>
      </c>
      <c r="AG114" s="119">
        <v>0</v>
      </c>
      <c r="AH114" s="119">
        <v>1</v>
      </c>
      <c r="AI114" s="119">
        <v>2</v>
      </c>
      <c r="AJ114" s="119">
        <v>3</v>
      </c>
      <c r="AK114" s="119">
        <v>3</v>
      </c>
      <c r="AL114" s="119">
        <v>3</v>
      </c>
      <c r="AM114" s="119">
        <v>4</v>
      </c>
      <c r="AN114" s="119">
        <v>3</v>
      </c>
      <c r="AO114" s="119">
        <v>3</v>
      </c>
      <c r="AP114" s="119">
        <v>3</v>
      </c>
      <c r="AQ114" s="119">
        <v>2</v>
      </c>
      <c r="AR114" s="119">
        <v>2</v>
      </c>
      <c r="AS114" s="119">
        <v>2</v>
      </c>
      <c r="AT114" s="131">
        <v>2</v>
      </c>
      <c r="AU114" s="134">
        <v>1</v>
      </c>
      <c r="AV114" s="126">
        <v>4</v>
      </c>
      <c r="BB114" s="104">
        <v>0.66582699999999995</v>
      </c>
      <c r="BC114" s="83">
        <v>352.17290000000003</v>
      </c>
      <c r="BD114" s="83">
        <v>-90.942400000000006</v>
      </c>
      <c r="BE114" s="83">
        <v>109.9914</v>
      </c>
      <c r="BF114" s="146">
        <v>-51.727294919999999</v>
      </c>
      <c r="BG114" s="146" t="s">
        <v>70</v>
      </c>
      <c r="BH114" s="147" t="s">
        <v>209</v>
      </c>
    </row>
    <row r="115" spans="1:60">
      <c r="A115" s="2">
        <v>46045</v>
      </c>
      <c r="B115" t="s">
        <v>90</v>
      </c>
      <c r="C115">
        <v>64293</v>
      </c>
      <c r="D115">
        <v>1634</v>
      </c>
      <c r="E115" t="s">
        <v>210</v>
      </c>
      <c r="F115" t="s">
        <v>46</v>
      </c>
      <c r="G115" t="s">
        <v>57</v>
      </c>
      <c r="H115" t="s">
        <v>48</v>
      </c>
      <c r="J115" t="s">
        <v>50</v>
      </c>
      <c r="O115" s="78">
        <v>6</v>
      </c>
      <c r="T115" s="104">
        <v>5</v>
      </c>
      <c r="U115" s="72">
        <v>-13.961658480000001</v>
      </c>
      <c r="V115" s="72">
        <v>501.39599609999999</v>
      </c>
      <c r="W115" s="72">
        <f t="shared" si="6"/>
        <v>515.35765458000003</v>
      </c>
      <c r="X115" s="105">
        <v>1</v>
      </c>
      <c r="AE115" s="118">
        <v>0</v>
      </c>
      <c r="AF115" s="119">
        <v>0</v>
      </c>
      <c r="AG115" s="119">
        <v>2</v>
      </c>
      <c r="AH115" s="119">
        <v>6</v>
      </c>
      <c r="AI115" s="119">
        <v>11</v>
      </c>
      <c r="AJ115" s="119">
        <v>14</v>
      </c>
      <c r="AK115" s="119">
        <v>19</v>
      </c>
      <c r="AL115" s="119">
        <v>21</v>
      </c>
      <c r="AM115" s="119">
        <v>19</v>
      </c>
      <c r="AN115" s="119">
        <v>20</v>
      </c>
      <c r="AO115" s="119">
        <v>16</v>
      </c>
      <c r="AP115" s="119">
        <v>15</v>
      </c>
      <c r="AQ115" s="119">
        <v>15</v>
      </c>
      <c r="AR115" s="119">
        <v>13</v>
      </c>
      <c r="AS115" s="119">
        <v>2</v>
      </c>
      <c r="AT115" s="131">
        <v>1</v>
      </c>
      <c r="AU115" s="134">
        <v>2</v>
      </c>
      <c r="AV115" s="126">
        <v>21</v>
      </c>
      <c r="BB115" s="104">
        <v>0.61496499999999998</v>
      </c>
      <c r="BC115" s="83">
        <v>367.4316</v>
      </c>
      <c r="BD115" s="83">
        <v>-87.890600000000006</v>
      </c>
      <c r="BE115" s="83">
        <v>118.2077</v>
      </c>
      <c r="BF115" s="41">
        <v>-40.405273440000002</v>
      </c>
      <c r="BG115" s="41"/>
      <c r="BH115" s="39"/>
    </row>
    <row r="116" spans="1:60">
      <c r="A116" s="2">
        <v>46045</v>
      </c>
      <c r="B116" t="s">
        <v>90</v>
      </c>
      <c r="C116">
        <v>64293</v>
      </c>
      <c r="D116">
        <v>1635</v>
      </c>
      <c r="E116" t="s">
        <v>211</v>
      </c>
      <c r="F116" t="s">
        <v>46</v>
      </c>
      <c r="G116" t="s">
        <v>57</v>
      </c>
      <c r="H116" t="s">
        <v>48</v>
      </c>
      <c r="I116" t="s">
        <v>212</v>
      </c>
      <c r="J116" t="s">
        <v>50</v>
      </c>
      <c r="O116" s="4"/>
      <c r="T116" s="104">
        <v>3</v>
      </c>
      <c r="U116" s="72">
        <v>-44.92636108</v>
      </c>
      <c r="V116" s="72">
        <v>418.30990600000001</v>
      </c>
      <c r="W116" s="72">
        <f t="shared" si="6"/>
        <v>463.23626708</v>
      </c>
      <c r="X116" s="105">
        <v>1</v>
      </c>
      <c r="AE116" s="118">
        <v>0</v>
      </c>
      <c r="AF116" s="119">
        <v>0</v>
      </c>
      <c r="AG116" s="119">
        <v>0</v>
      </c>
      <c r="AH116" s="119">
        <v>1</v>
      </c>
      <c r="AI116" s="119">
        <v>1</v>
      </c>
      <c r="AJ116" s="119">
        <v>9</v>
      </c>
      <c r="AK116" s="119">
        <v>3</v>
      </c>
      <c r="AL116" s="119">
        <v>17</v>
      </c>
      <c r="AM116" s="119">
        <v>19</v>
      </c>
      <c r="AN116" s="119">
        <v>22</v>
      </c>
      <c r="AO116" s="119">
        <v>19</v>
      </c>
      <c r="AP116" s="119">
        <v>22</v>
      </c>
      <c r="AQ116" s="119">
        <v>16</v>
      </c>
      <c r="AR116" s="119">
        <v>10</v>
      </c>
      <c r="AS116" s="119">
        <v>7</v>
      </c>
      <c r="AT116" s="131">
        <v>5</v>
      </c>
      <c r="AU116" s="134">
        <v>1</v>
      </c>
      <c r="AV116" s="126">
        <v>22</v>
      </c>
      <c r="BB116" s="104">
        <v>0.234844</v>
      </c>
      <c r="BC116" s="83">
        <v>292.96879999999999</v>
      </c>
      <c r="BD116" s="83">
        <v>-186.15700000000001</v>
      </c>
      <c r="BE116" s="83">
        <v>91.689269999999993</v>
      </c>
      <c r="BF116" s="41">
        <v>-42.724609379999997</v>
      </c>
      <c r="BG116" s="41"/>
      <c r="BH116" s="39"/>
    </row>
    <row r="117" spans="1:60">
      <c r="A117" s="2">
        <v>46049</v>
      </c>
      <c r="B117" t="s">
        <v>90</v>
      </c>
      <c r="C117">
        <v>64284</v>
      </c>
      <c r="D117">
        <v>1636</v>
      </c>
      <c r="E117" t="s">
        <v>140</v>
      </c>
      <c r="F117" t="s">
        <v>65</v>
      </c>
      <c r="G117" t="s">
        <v>57</v>
      </c>
      <c r="H117" t="s">
        <v>54</v>
      </c>
      <c r="J117" t="s">
        <v>50</v>
      </c>
      <c r="O117">
        <v>14</v>
      </c>
      <c r="T117" s="104">
        <v>3</v>
      </c>
      <c r="U117" s="72">
        <v>-30.302330019999999</v>
      </c>
      <c r="V117" s="72">
        <v>329.65243529999998</v>
      </c>
      <c r="W117" s="72">
        <f t="shared" si="6"/>
        <v>359.95476531999998</v>
      </c>
      <c r="X117" s="105">
        <v>1</v>
      </c>
      <c r="AE117" s="41">
        <v>0</v>
      </c>
      <c r="AF117" s="72">
        <v>0</v>
      </c>
      <c r="AG117" s="72">
        <v>2</v>
      </c>
      <c r="AH117" s="72">
        <v>14</v>
      </c>
      <c r="AI117" s="72">
        <v>24</v>
      </c>
      <c r="AJ117" s="72">
        <v>30</v>
      </c>
      <c r="AK117" s="72">
        <v>34</v>
      </c>
      <c r="AL117" s="72">
        <v>30</v>
      </c>
      <c r="AM117" s="72">
        <v>29</v>
      </c>
      <c r="AN117" s="72">
        <v>28</v>
      </c>
      <c r="AO117" s="72">
        <v>25</v>
      </c>
      <c r="AP117" s="72">
        <v>24</v>
      </c>
      <c r="AQ117" s="72">
        <v>1</v>
      </c>
      <c r="AR117" s="72">
        <v>1</v>
      </c>
      <c r="AS117" s="72">
        <v>1</v>
      </c>
      <c r="AT117" s="56">
        <v>1</v>
      </c>
      <c r="AU117" s="134">
        <v>2</v>
      </c>
      <c r="AV117" s="127">
        <v>34</v>
      </c>
      <c r="BB117" s="104">
        <v>0.55402700000000005</v>
      </c>
      <c r="BC117" s="83">
        <v>422.36329999999998</v>
      </c>
      <c r="BD117" s="83">
        <v>-90.331999999999994</v>
      </c>
      <c r="BE117" s="83">
        <v>110.6087</v>
      </c>
      <c r="BF117" s="41">
        <v>-41.748046879999997</v>
      </c>
      <c r="BG117" s="41"/>
      <c r="BH117" s="39"/>
    </row>
    <row r="118" spans="1:60">
      <c r="A118" s="2">
        <v>46049</v>
      </c>
      <c r="B118" t="s">
        <v>90</v>
      </c>
      <c r="C118">
        <v>64284</v>
      </c>
      <c r="D118">
        <v>1637</v>
      </c>
      <c r="E118" t="s">
        <v>142</v>
      </c>
      <c r="F118" t="s">
        <v>65</v>
      </c>
      <c r="G118" t="s">
        <v>57</v>
      </c>
      <c r="H118" t="s">
        <v>54</v>
      </c>
      <c r="I118" t="s">
        <v>213</v>
      </c>
      <c r="J118" t="s">
        <v>50</v>
      </c>
      <c r="O118">
        <v>8</v>
      </c>
      <c r="T118" s="104">
        <v>2</v>
      </c>
      <c r="U118" s="72">
        <v>-54.58413315</v>
      </c>
      <c r="V118" s="72">
        <v>280.07312009999998</v>
      </c>
      <c r="W118" s="72">
        <f t="shared" si="6"/>
        <v>334.65725325</v>
      </c>
      <c r="X118" s="105">
        <v>1</v>
      </c>
      <c r="AE118" s="41">
        <v>0</v>
      </c>
      <c r="AF118" s="72">
        <v>0</v>
      </c>
      <c r="AG118" s="72">
        <v>8</v>
      </c>
      <c r="AH118" s="72">
        <v>20</v>
      </c>
      <c r="AI118" s="72">
        <v>23</v>
      </c>
      <c r="AJ118" s="72">
        <v>30</v>
      </c>
      <c r="AK118" s="72">
        <v>30</v>
      </c>
      <c r="AL118" s="72">
        <v>27</v>
      </c>
      <c r="AM118" s="72">
        <v>29</v>
      </c>
      <c r="AN118" s="72">
        <v>29</v>
      </c>
      <c r="AO118" s="72">
        <v>31</v>
      </c>
      <c r="AP118" s="72">
        <v>25</v>
      </c>
      <c r="AQ118" s="72">
        <v>14</v>
      </c>
      <c r="AR118" s="72">
        <v>4</v>
      </c>
      <c r="AS118" s="72">
        <v>2</v>
      </c>
      <c r="AT118" s="56">
        <v>2</v>
      </c>
      <c r="AU118" s="134">
        <v>8</v>
      </c>
      <c r="AV118" s="127">
        <v>31</v>
      </c>
      <c r="BB118" s="104">
        <v>0.48855999999999999</v>
      </c>
      <c r="BC118" s="83">
        <v>495.60550000000001</v>
      </c>
      <c r="BD118" s="83">
        <v>-133.05699999999999</v>
      </c>
      <c r="BE118" s="83">
        <v>121.31610000000001</v>
      </c>
      <c r="BF118" s="41">
        <v>-41.83959961</v>
      </c>
      <c r="BG118" s="41"/>
      <c r="BH118" s="39"/>
    </row>
    <row r="119" spans="1:60">
      <c r="A119" s="2">
        <v>46049</v>
      </c>
      <c r="B119" t="s">
        <v>90</v>
      </c>
      <c r="C119">
        <v>64284</v>
      </c>
      <c r="D119">
        <v>1638</v>
      </c>
      <c r="E119" t="s">
        <v>214</v>
      </c>
      <c r="F119" t="s">
        <v>65</v>
      </c>
      <c r="G119" t="s">
        <v>57</v>
      </c>
      <c r="H119" t="s">
        <v>54</v>
      </c>
      <c r="I119" t="s">
        <v>215</v>
      </c>
      <c r="J119" t="s">
        <v>50</v>
      </c>
      <c r="O119">
        <v>3</v>
      </c>
      <c r="T119" s="104">
        <v>3</v>
      </c>
      <c r="U119" s="72">
        <v>-122.9814911</v>
      </c>
      <c r="V119" s="72">
        <v>443.86642460000002</v>
      </c>
      <c r="W119" s="72">
        <f t="shared" si="6"/>
        <v>566.84791570000004</v>
      </c>
      <c r="X119" s="105">
        <v>1</v>
      </c>
      <c r="AE119" s="41">
        <v>0</v>
      </c>
      <c r="AF119" s="72">
        <v>0</v>
      </c>
      <c r="AG119" s="72">
        <v>0</v>
      </c>
      <c r="AH119" s="72">
        <v>1</v>
      </c>
      <c r="AI119" s="72">
        <v>3</v>
      </c>
      <c r="AJ119" s="72">
        <v>9</v>
      </c>
      <c r="AK119" s="72">
        <v>14</v>
      </c>
      <c r="AL119" s="72">
        <v>16</v>
      </c>
      <c r="AM119" s="72">
        <v>21</v>
      </c>
      <c r="AN119" s="72">
        <v>21</v>
      </c>
      <c r="AO119" s="72">
        <v>18</v>
      </c>
      <c r="AP119" s="72">
        <v>14</v>
      </c>
      <c r="AQ119" s="72">
        <v>12</v>
      </c>
      <c r="AR119" s="72">
        <v>10</v>
      </c>
      <c r="AS119" s="72">
        <v>9</v>
      </c>
      <c r="AT119" s="56">
        <v>8</v>
      </c>
      <c r="AU119" s="134">
        <v>1</v>
      </c>
      <c r="AV119" s="127">
        <v>21</v>
      </c>
      <c r="BB119" s="104">
        <v>0.36202400000000001</v>
      </c>
      <c r="BC119" s="83">
        <v>288.08589999999998</v>
      </c>
      <c r="BD119" s="83">
        <v>-149.536</v>
      </c>
      <c r="BE119" s="83">
        <v>104.2303</v>
      </c>
      <c r="BF119" s="41">
        <v>-25.939941409999999</v>
      </c>
      <c r="BG119" s="41"/>
      <c r="BH119" s="39"/>
    </row>
    <row r="120" spans="1:60">
      <c r="A120" s="2">
        <v>46049</v>
      </c>
      <c r="B120" t="s">
        <v>44</v>
      </c>
      <c r="C120">
        <v>64284</v>
      </c>
      <c r="D120">
        <v>1639</v>
      </c>
      <c r="E120" t="s">
        <v>216</v>
      </c>
      <c r="F120" t="s">
        <v>65</v>
      </c>
      <c r="G120" t="s">
        <v>57</v>
      </c>
      <c r="H120" t="s">
        <v>54</v>
      </c>
      <c r="I120" t="s">
        <v>217</v>
      </c>
      <c r="J120" t="s">
        <v>50</v>
      </c>
      <c r="O120">
        <v>6</v>
      </c>
      <c r="T120" s="104">
        <v>5</v>
      </c>
      <c r="U120" s="72">
        <v>-46.259490970000002</v>
      </c>
      <c r="V120" s="72">
        <v>661.55847170000004</v>
      </c>
      <c r="W120" s="72">
        <f t="shared" si="6"/>
        <v>707.81796267000004</v>
      </c>
      <c r="X120" s="105">
        <v>1</v>
      </c>
      <c r="AE120" s="41">
        <v>0</v>
      </c>
      <c r="AF120" s="72">
        <v>0</v>
      </c>
      <c r="AG120" s="72">
        <v>0</v>
      </c>
      <c r="AH120" s="72">
        <v>6</v>
      </c>
      <c r="AI120" s="72">
        <v>12</v>
      </c>
      <c r="AJ120" s="72">
        <v>14</v>
      </c>
      <c r="AK120" s="72">
        <v>17</v>
      </c>
      <c r="AL120" s="72">
        <v>18</v>
      </c>
      <c r="AM120" s="72">
        <v>19</v>
      </c>
      <c r="AN120" s="72">
        <v>19</v>
      </c>
      <c r="AO120" s="72">
        <v>20</v>
      </c>
      <c r="AP120" s="72">
        <v>19</v>
      </c>
      <c r="AQ120" s="72">
        <v>18</v>
      </c>
      <c r="AR120" s="72">
        <v>18</v>
      </c>
      <c r="AS120" s="72">
        <v>15</v>
      </c>
      <c r="AT120" s="56">
        <v>18</v>
      </c>
      <c r="AU120" s="134">
        <v>6</v>
      </c>
      <c r="AV120" s="127">
        <v>20</v>
      </c>
      <c r="BB120" s="104">
        <v>0.48076400000000002</v>
      </c>
      <c r="BC120" s="83">
        <v>468.75</v>
      </c>
      <c r="BD120" s="83">
        <v>-107.422</v>
      </c>
      <c r="BE120" s="83">
        <v>124.95699999999999</v>
      </c>
      <c r="BF120" s="41">
        <v>-40.0390625</v>
      </c>
      <c r="BG120" s="41"/>
      <c r="BH120" s="39"/>
    </row>
    <row r="121" spans="1:60">
      <c r="A121" s="2">
        <v>46049</v>
      </c>
      <c r="B121" t="s">
        <v>90</v>
      </c>
      <c r="C121">
        <v>64285</v>
      </c>
      <c r="D121">
        <v>1640</v>
      </c>
      <c r="E121" t="s">
        <v>218</v>
      </c>
      <c r="F121" t="s">
        <v>65</v>
      </c>
      <c r="G121" t="s">
        <v>57</v>
      </c>
      <c r="H121" t="s">
        <v>48</v>
      </c>
      <c r="I121" t="s">
        <v>219</v>
      </c>
      <c r="J121" t="s">
        <v>50</v>
      </c>
      <c r="O121">
        <v>6</v>
      </c>
      <c r="T121" s="104">
        <v>5</v>
      </c>
      <c r="U121" s="72">
        <v>-123.0538025</v>
      </c>
      <c r="V121" s="72">
        <v>289.32229610000002</v>
      </c>
      <c r="W121" s="72">
        <f t="shared" si="6"/>
        <v>412.37609860000003</v>
      </c>
      <c r="X121" s="105">
        <v>1</v>
      </c>
      <c r="AE121" s="41">
        <v>0</v>
      </c>
      <c r="AF121" s="72">
        <v>0</v>
      </c>
      <c r="AG121" s="72">
        <v>0</v>
      </c>
      <c r="AH121" s="72">
        <v>6</v>
      </c>
      <c r="AI121" s="72">
        <v>13</v>
      </c>
      <c r="AJ121" s="72">
        <v>14</v>
      </c>
      <c r="AK121" s="72">
        <v>15</v>
      </c>
      <c r="AL121" s="72">
        <v>14</v>
      </c>
      <c r="AM121" s="72">
        <v>14</v>
      </c>
      <c r="AN121" s="72">
        <v>13</v>
      </c>
      <c r="AO121" s="72">
        <v>10</v>
      </c>
      <c r="AP121" s="72">
        <v>9</v>
      </c>
      <c r="AQ121" s="72">
        <v>1</v>
      </c>
      <c r="AR121" s="72">
        <v>1</v>
      </c>
      <c r="AS121" s="72">
        <v>2</v>
      </c>
      <c r="AT121" s="56">
        <v>1</v>
      </c>
      <c r="AU121" s="134">
        <v>6</v>
      </c>
      <c r="AV121" s="127">
        <v>15</v>
      </c>
      <c r="BB121" s="104">
        <v>0.62233899999999998</v>
      </c>
      <c r="BC121" s="83">
        <v>296.02050000000003</v>
      </c>
      <c r="BD121" s="83">
        <v>-78.735399999999998</v>
      </c>
      <c r="BE121" s="83">
        <v>105.0641</v>
      </c>
      <c r="BF121" s="41">
        <v>-45.227050779999999</v>
      </c>
      <c r="BG121" s="41"/>
      <c r="BH121" s="39"/>
    </row>
    <row r="122" spans="1:60">
      <c r="A122" s="2">
        <v>46049</v>
      </c>
      <c r="B122" t="s">
        <v>44</v>
      </c>
      <c r="C122">
        <v>64284</v>
      </c>
      <c r="D122">
        <v>1641</v>
      </c>
      <c r="E122" t="s">
        <v>95</v>
      </c>
      <c r="F122" t="s">
        <v>65</v>
      </c>
      <c r="G122" t="s">
        <v>57</v>
      </c>
      <c r="H122" t="s">
        <v>54</v>
      </c>
      <c r="J122" t="s">
        <v>50</v>
      </c>
      <c r="O122">
        <v>4</v>
      </c>
      <c r="T122" s="104">
        <v>3</v>
      </c>
      <c r="U122" s="72">
        <v>-30.96637917</v>
      </c>
      <c r="V122" s="72">
        <v>423.70919800000001</v>
      </c>
      <c r="W122" s="72">
        <f t="shared" si="6"/>
        <v>454.67557717</v>
      </c>
      <c r="X122" s="105">
        <v>1</v>
      </c>
      <c r="AE122" s="41">
        <v>0</v>
      </c>
      <c r="AF122" s="72">
        <v>0</v>
      </c>
      <c r="AG122" s="72">
        <v>0</v>
      </c>
      <c r="AH122" s="72">
        <v>4</v>
      </c>
      <c r="AI122" s="72">
        <v>8</v>
      </c>
      <c r="AJ122" s="72">
        <v>6</v>
      </c>
      <c r="AK122" s="72">
        <v>5</v>
      </c>
      <c r="AL122" s="72">
        <v>4</v>
      </c>
      <c r="AM122" s="72">
        <v>4</v>
      </c>
      <c r="AN122" s="72">
        <v>1</v>
      </c>
      <c r="AO122" s="72">
        <v>3</v>
      </c>
      <c r="AP122" s="72">
        <v>2</v>
      </c>
      <c r="AQ122" s="72">
        <v>1</v>
      </c>
      <c r="AR122" s="72">
        <v>1</v>
      </c>
      <c r="AS122" s="72">
        <v>1</v>
      </c>
      <c r="AT122" s="56">
        <v>1</v>
      </c>
      <c r="AU122" s="134">
        <v>4</v>
      </c>
      <c r="AV122" s="127">
        <v>8</v>
      </c>
      <c r="BB122" s="104">
        <v>0.48464000000000002</v>
      </c>
      <c r="BC122" s="83">
        <v>720.21479999999997</v>
      </c>
      <c r="BD122" s="83">
        <v>-115.967</v>
      </c>
      <c r="BE122" s="83">
        <v>128.72319999999999</v>
      </c>
      <c r="BF122" s="41">
        <v>-39.031982419999999</v>
      </c>
      <c r="BG122" s="41"/>
      <c r="BH122" s="39"/>
    </row>
    <row r="123" spans="1:60">
      <c r="A123" s="2">
        <v>46049</v>
      </c>
      <c r="B123" t="s">
        <v>90</v>
      </c>
      <c r="C123">
        <v>64285</v>
      </c>
      <c r="D123" s="19">
        <v>1642</v>
      </c>
      <c r="E123" t="s">
        <v>220</v>
      </c>
      <c r="F123" t="s">
        <v>65</v>
      </c>
      <c r="G123" t="s">
        <v>57</v>
      </c>
      <c r="H123" t="s">
        <v>48</v>
      </c>
      <c r="J123" t="s">
        <v>50</v>
      </c>
      <c r="O123">
        <v>13</v>
      </c>
      <c r="T123" s="104">
        <v>2</v>
      </c>
      <c r="U123" s="72">
        <v>-103.6185074</v>
      </c>
      <c r="V123" s="72">
        <v>437.55947880000002</v>
      </c>
      <c r="W123" s="72">
        <f t="shared" si="6"/>
        <v>541.17798620000008</v>
      </c>
      <c r="X123" s="105">
        <v>1</v>
      </c>
      <c r="AE123" s="41">
        <v>0</v>
      </c>
      <c r="AF123" s="72">
        <v>0</v>
      </c>
      <c r="AG123" s="72">
        <v>1</v>
      </c>
      <c r="AH123" s="72">
        <v>13</v>
      </c>
      <c r="AI123" s="72">
        <v>18</v>
      </c>
      <c r="AJ123" s="72">
        <v>24</v>
      </c>
      <c r="AK123" s="72">
        <v>22</v>
      </c>
      <c r="AL123" s="72">
        <v>22</v>
      </c>
      <c r="AM123" s="72">
        <v>19</v>
      </c>
      <c r="AN123" s="72">
        <v>16</v>
      </c>
      <c r="AO123" s="72">
        <v>14</v>
      </c>
      <c r="AP123" s="72">
        <v>10</v>
      </c>
      <c r="AQ123" s="72">
        <v>3</v>
      </c>
      <c r="AR123" s="72">
        <v>2</v>
      </c>
      <c r="AS123" s="72">
        <v>2</v>
      </c>
      <c r="AT123" s="56">
        <v>1</v>
      </c>
      <c r="AU123" s="134">
        <v>1</v>
      </c>
      <c r="AV123" s="127">
        <v>24</v>
      </c>
      <c r="BB123" s="104">
        <v>0.63376299999999997</v>
      </c>
      <c r="BC123" s="83">
        <v>321.04489999999998</v>
      </c>
      <c r="BD123" s="83">
        <v>-86.669899999999998</v>
      </c>
      <c r="BE123" s="83">
        <v>110.1208</v>
      </c>
      <c r="BF123" s="146">
        <v>-40.52734375</v>
      </c>
      <c r="BG123" s="146" t="s">
        <v>70</v>
      </c>
      <c r="BH123" s="147" t="s">
        <v>75</v>
      </c>
    </row>
    <row r="124" spans="1:60">
      <c r="A124" s="2">
        <v>46049</v>
      </c>
      <c r="B124" t="s">
        <v>44</v>
      </c>
      <c r="C124">
        <v>64285</v>
      </c>
      <c r="D124" s="19">
        <v>1643</v>
      </c>
      <c r="E124" t="s">
        <v>144</v>
      </c>
      <c r="F124" t="s">
        <v>65</v>
      </c>
      <c r="G124" t="s">
        <v>57</v>
      </c>
      <c r="H124" t="s">
        <v>48</v>
      </c>
      <c r="J124" t="s">
        <v>50</v>
      </c>
      <c r="O124">
        <v>6</v>
      </c>
      <c r="T124" s="104">
        <v>3</v>
      </c>
      <c r="U124" s="72">
        <v>-125.2946014</v>
      </c>
      <c r="V124" s="72">
        <v>532.19525150000004</v>
      </c>
      <c r="W124" s="72">
        <f t="shared" ref="W124:W146" si="7">V124-U124</f>
        <v>657.48985290000007</v>
      </c>
      <c r="X124" s="105">
        <v>1</v>
      </c>
      <c r="AE124" s="41">
        <v>0</v>
      </c>
      <c r="AF124" s="72">
        <v>0</v>
      </c>
      <c r="AG124" s="72">
        <v>0</v>
      </c>
      <c r="AH124" s="72">
        <v>0</v>
      </c>
      <c r="AI124" s="72">
        <v>6</v>
      </c>
      <c r="AJ124" s="72">
        <v>16</v>
      </c>
      <c r="AK124" s="72">
        <v>22</v>
      </c>
      <c r="AL124" s="72">
        <v>24</v>
      </c>
      <c r="AM124" s="72">
        <v>24</v>
      </c>
      <c r="AN124" s="72">
        <v>25</v>
      </c>
      <c r="AO124" s="72">
        <v>24</v>
      </c>
      <c r="AP124" s="72">
        <v>21</v>
      </c>
      <c r="AQ124" s="72">
        <v>17</v>
      </c>
      <c r="AR124" s="72">
        <v>17</v>
      </c>
      <c r="AS124" s="72">
        <v>14</v>
      </c>
      <c r="AT124" s="56">
        <v>15</v>
      </c>
      <c r="AU124" s="134">
        <v>6</v>
      </c>
      <c r="AV124" s="127">
        <v>25</v>
      </c>
      <c r="BB124" s="104">
        <v>0.54171199999999997</v>
      </c>
      <c r="BC124" s="83">
        <v>520.01949999999999</v>
      </c>
      <c r="BD124" s="83">
        <v>-122.07</v>
      </c>
      <c r="BE124" s="83">
        <v>131.83920000000001</v>
      </c>
      <c r="BF124" s="146">
        <v>-44.799804690000002</v>
      </c>
      <c r="BG124" s="146" t="s">
        <v>70</v>
      </c>
      <c r="BH124" s="147" t="s">
        <v>75</v>
      </c>
    </row>
    <row r="125" spans="1:60">
      <c r="A125" s="2">
        <v>46049</v>
      </c>
      <c r="B125" t="s">
        <v>44</v>
      </c>
      <c r="C125">
        <v>64285</v>
      </c>
      <c r="D125" s="19">
        <v>1644</v>
      </c>
      <c r="E125" t="s">
        <v>221</v>
      </c>
      <c r="F125" t="s">
        <v>65</v>
      </c>
      <c r="G125" t="s">
        <v>57</v>
      </c>
      <c r="H125" t="s">
        <v>48</v>
      </c>
      <c r="I125" t="s">
        <v>222</v>
      </c>
      <c r="J125" t="s">
        <v>50</v>
      </c>
      <c r="O125">
        <v>0</v>
      </c>
      <c r="T125" s="104">
        <v>5</v>
      </c>
      <c r="U125" s="72">
        <v>-125.30513000000001</v>
      </c>
      <c r="V125" s="72">
        <v>683.85980219999999</v>
      </c>
      <c r="W125" s="72">
        <f t="shared" si="7"/>
        <v>809.16493219999995</v>
      </c>
      <c r="X125" s="105">
        <v>1</v>
      </c>
      <c r="AE125" s="41">
        <v>0</v>
      </c>
      <c r="AF125" s="72">
        <v>0</v>
      </c>
      <c r="AG125" s="72">
        <v>0</v>
      </c>
      <c r="AH125" s="72">
        <v>0</v>
      </c>
      <c r="AI125" s="72">
        <v>0</v>
      </c>
      <c r="AJ125" s="72">
        <v>0</v>
      </c>
      <c r="AK125" s="72">
        <v>2</v>
      </c>
      <c r="AL125" s="72">
        <v>9</v>
      </c>
      <c r="AM125" s="72">
        <v>12</v>
      </c>
      <c r="AN125" s="72">
        <v>14</v>
      </c>
      <c r="AO125" s="72">
        <v>17</v>
      </c>
      <c r="AP125" s="72">
        <v>20</v>
      </c>
      <c r="AQ125" s="72">
        <v>21</v>
      </c>
      <c r="AR125" s="72">
        <v>21</v>
      </c>
      <c r="AS125" s="72">
        <v>21</v>
      </c>
      <c r="AT125" s="56">
        <v>21</v>
      </c>
      <c r="AU125" s="134">
        <v>2</v>
      </c>
      <c r="AV125" s="127">
        <v>21</v>
      </c>
      <c r="BB125" s="104">
        <v>0.47305000000000003</v>
      </c>
      <c r="BC125" s="83">
        <v>460.20510000000002</v>
      </c>
      <c r="BD125" s="83">
        <v>-117.188</v>
      </c>
      <c r="BE125" s="83">
        <v>110.6254</v>
      </c>
      <c r="BF125" s="146">
        <v>-36.46850586</v>
      </c>
      <c r="BG125" s="146"/>
      <c r="BH125" s="147"/>
    </row>
    <row r="126" spans="1:60">
      <c r="A126" s="2">
        <v>46050</v>
      </c>
      <c r="B126" t="s">
        <v>44</v>
      </c>
      <c r="C126">
        <v>64286</v>
      </c>
      <c r="D126">
        <v>1645</v>
      </c>
      <c r="E126" t="s">
        <v>223</v>
      </c>
      <c r="F126" t="s">
        <v>65</v>
      </c>
      <c r="G126" t="s">
        <v>47</v>
      </c>
      <c r="H126" t="s">
        <v>48</v>
      </c>
      <c r="I126" t="s">
        <v>224</v>
      </c>
      <c r="J126" t="s">
        <v>50</v>
      </c>
      <c r="O126">
        <v>5</v>
      </c>
      <c r="T126" s="104">
        <v>4</v>
      </c>
      <c r="U126" s="72">
        <v>-16.296432500000002</v>
      </c>
      <c r="V126" s="72">
        <v>464.21148679999999</v>
      </c>
      <c r="W126" s="72">
        <f t="shared" si="7"/>
        <v>480.50791929999997</v>
      </c>
      <c r="X126" s="105">
        <v>1</v>
      </c>
      <c r="AE126" s="41">
        <v>0</v>
      </c>
      <c r="AF126" s="72">
        <v>0</v>
      </c>
      <c r="AG126" s="72">
        <v>0</v>
      </c>
      <c r="AH126" s="72">
        <v>5</v>
      </c>
      <c r="AI126" s="72">
        <v>10</v>
      </c>
      <c r="AJ126" s="72">
        <v>12</v>
      </c>
      <c r="AK126" s="72">
        <v>14</v>
      </c>
      <c r="AL126" s="72">
        <v>14</v>
      </c>
      <c r="AM126" s="72">
        <v>16</v>
      </c>
      <c r="AN126" s="72">
        <v>16</v>
      </c>
      <c r="AO126" s="72">
        <v>19</v>
      </c>
      <c r="AP126" s="72">
        <v>13</v>
      </c>
      <c r="AQ126" s="72">
        <v>14</v>
      </c>
      <c r="AR126" s="72">
        <v>12</v>
      </c>
      <c r="AS126" s="72">
        <v>8</v>
      </c>
      <c r="AT126" s="56">
        <v>7</v>
      </c>
      <c r="AU126" s="134">
        <v>5</v>
      </c>
      <c r="AV126" s="127">
        <v>19</v>
      </c>
      <c r="BB126" s="104">
        <v>0.37761400000000001</v>
      </c>
      <c r="BC126" s="83">
        <v>504.15039999999999</v>
      </c>
      <c r="BD126" s="83">
        <v>-113.52500000000001</v>
      </c>
      <c r="BE126" s="83">
        <v>116.8165</v>
      </c>
      <c r="BF126" s="41">
        <v>-49.95727539</v>
      </c>
      <c r="BG126" s="41"/>
      <c r="BH126" s="39"/>
    </row>
    <row r="127" spans="1:60">
      <c r="A127" s="2">
        <v>46050</v>
      </c>
      <c r="B127" t="s">
        <v>90</v>
      </c>
      <c r="C127">
        <v>64286</v>
      </c>
      <c r="D127" s="19">
        <v>1646</v>
      </c>
      <c r="E127" t="s">
        <v>140</v>
      </c>
      <c r="F127" t="s">
        <v>65</v>
      </c>
      <c r="G127" t="s">
        <v>47</v>
      </c>
      <c r="H127" t="s">
        <v>48</v>
      </c>
      <c r="J127" t="s">
        <v>50</v>
      </c>
      <c r="O127">
        <v>5</v>
      </c>
      <c r="T127" s="104">
        <v>7</v>
      </c>
      <c r="U127" s="72">
        <v>-84.175888060000005</v>
      </c>
      <c r="V127" s="72">
        <v>585.8436279</v>
      </c>
      <c r="W127" s="72">
        <f t="shared" si="7"/>
        <v>670.01951596000004</v>
      </c>
      <c r="X127" s="105">
        <v>1</v>
      </c>
      <c r="AE127" s="41">
        <v>0</v>
      </c>
      <c r="AF127" s="72">
        <v>0</v>
      </c>
      <c r="AG127" s="72">
        <v>0</v>
      </c>
      <c r="AH127" s="72">
        <v>5</v>
      </c>
      <c r="AI127" s="72">
        <v>8</v>
      </c>
      <c r="AJ127" s="72">
        <v>11</v>
      </c>
      <c r="AK127" s="72">
        <v>16</v>
      </c>
      <c r="AL127" s="72">
        <v>16</v>
      </c>
      <c r="AM127" s="72">
        <v>17</v>
      </c>
      <c r="AN127" s="72">
        <v>17</v>
      </c>
      <c r="AO127" s="72">
        <v>18</v>
      </c>
      <c r="AP127" s="72">
        <v>18</v>
      </c>
      <c r="AQ127" s="72">
        <v>14</v>
      </c>
      <c r="AR127" s="72">
        <v>14</v>
      </c>
      <c r="AS127" s="72">
        <v>2</v>
      </c>
      <c r="AT127" s="56">
        <v>2</v>
      </c>
      <c r="AU127" s="134">
        <v>5</v>
      </c>
      <c r="AV127" s="127">
        <v>18</v>
      </c>
      <c r="BB127" s="104">
        <v>0.60441199999999995</v>
      </c>
      <c r="BC127" s="83">
        <v>282.59280000000001</v>
      </c>
      <c r="BD127" s="83">
        <v>-78.735399999999998</v>
      </c>
      <c r="BE127" s="83">
        <v>106.8343</v>
      </c>
      <c r="BF127" s="146">
        <v>-45.07446289</v>
      </c>
      <c r="BG127" s="146" t="s">
        <v>70</v>
      </c>
      <c r="BH127" s="147" t="s">
        <v>75</v>
      </c>
    </row>
    <row r="128" spans="1:60">
      <c r="A128" s="2">
        <v>46050</v>
      </c>
      <c r="B128" t="s">
        <v>44</v>
      </c>
      <c r="C128">
        <v>64286</v>
      </c>
      <c r="D128">
        <v>1647</v>
      </c>
      <c r="E128" t="s">
        <v>107</v>
      </c>
      <c r="F128" t="s">
        <v>65</v>
      </c>
      <c r="G128" t="s">
        <v>47</v>
      </c>
      <c r="H128" t="s">
        <v>48</v>
      </c>
      <c r="I128" t="s">
        <v>225</v>
      </c>
      <c r="J128" t="s">
        <v>50</v>
      </c>
      <c r="O128">
        <v>12</v>
      </c>
      <c r="T128" s="104">
        <v>7</v>
      </c>
      <c r="U128" s="72">
        <v>-65.855422970000006</v>
      </c>
      <c r="V128" s="72">
        <v>490.40966800000001</v>
      </c>
      <c r="W128" s="72">
        <f t="shared" si="7"/>
        <v>556.26509097000007</v>
      </c>
      <c r="X128" s="105">
        <v>1</v>
      </c>
      <c r="AE128" s="41">
        <v>0</v>
      </c>
      <c r="AF128" s="72">
        <v>0</v>
      </c>
      <c r="AG128" s="72">
        <v>2</v>
      </c>
      <c r="AH128" s="72">
        <v>12</v>
      </c>
      <c r="AI128" s="72">
        <v>21</v>
      </c>
      <c r="AJ128" s="72">
        <v>25</v>
      </c>
      <c r="AK128" s="72">
        <v>27</v>
      </c>
      <c r="AL128" s="72">
        <v>28</v>
      </c>
      <c r="AM128" s="72">
        <v>30</v>
      </c>
      <c r="AN128" s="72">
        <v>31</v>
      </c>
      <c r="AO128" s="72">
        <v>32</v>
      </c>
      <c r="AP128" s="72">
        <v>34</v>
      </c>
      <c r="AQ128" s="72">
        <v>40</v>
      </c>
      <c r="AR128" s="72">
        <v>46</v>
      </c>
      <c r="AS128" s="72">
        <v>46</v>
      </c>
      <c r="AT128" s="56">
        <v>12</v>
      </c>
      <c r="AU128" s="134">
        <v>2</v>
      </c>
      <c r="AV128" s="127">
        <v>46</v>
      </c>
      <c r="BB128" s="104">
        <v>0.39102500000000001</v>
      </c>
      <c r="BC128" s="83">
        <v>586.54790000000003</v>
      </c>
      <c r="BD128" s="83">
        <v>-140.99100000000001</v>
      </c>
      <c r="BE128" s="83">
        <v>121.67319999999999</v>
      </c>
      <c r="BF128" s="41">
        <v>-45.654296879999997</v>
      </c>
      <c r="BG128" s="41"/>
      <c r="BH128" s="39"/>
    </row>
    <row r="129" spans="1:60">
      <c r="A129" s="2">
        <v>46050</v>
      </c>
      <c r="B129" t="s">
        <v>44</v>
      </c>
      <c r="C129">
        <v>64286</v>
      </c>
      <c r="D129">
        <v>1648</v>
      </c>
      <c r="E129" t="s">
        <v>116</v>
      </c>
      <c r="F129" t="s">
        <v>65</v>
      </c>
      <c r="G129" t="s">
        <v>47</v>
      </c>
      <c r="H129" t="s">
        <v>48</v>
      </c>
      <c r="I129" t="s">
        <v>226</v>
      </c>
      <c r="J129" t="s">
        <v>50</v>
      </c>
      <c r="O129">
        <v>1</v>
      </c>
      <c r="T129" s="104">
        <v>3</v>
      </c>
      <c r="U129" s="72">
        <v>-1.5351082089999999</v>
      </c>
      <c r="V129" s="72">
        <v>1565.364014</v>
      </c>
      <c r="W129" s="72">
        <f t="shared" si="7"/>
        <v>1566.8991222090001</v>
      </c>
      <c r="X129" s="105">
        <v>1</v>
      </c>
      <c r="AE129" s="41">
        <v>0</v>
      </c>
      <c r="AF129" s="72">
        <v>0</v>
      </c>
      <c r="AG129" s="72">
        <v>0</v>
      </c>
      <c r="AH129" s="72">
        <v>0</v>
      </c>
      <c r="AI129" s="72">
        <v>0</v>
      </c>
      <c r="AJ129" s="72">
        <v>0</v>
      </c>
      <c r="AK129" s="72">
        <v>1</v>
      </c>
      <c r="AL129" s="72">
        <v>5</v>
      </c>
      <c r="AM129" s="72">
        <v>7</v>
      </c>
      <c r="AN129" s="72">
        <v>9</v>
      </c>
      <c r="AO129" s="72">
        <v>8</v>
      </c>
      <c r="AP129" s="72">
        <v>8</v>
      </c>
      <c r="AQ129" s="72">
        <v>7</v>
      </c>
      <c r="AR129" s="72">
        <v>4</v>
      </c>
      <c r="AS129" s="72">
        <v>5</v>
      </c>
      <c r="AT129" s="56">
        <v>4</v>
      </c>
      <c r="AU129" s="134">
        <v>1</v>
      </c>
      <c r="AV129" s="127">
        <v>9</v>
      </c>
      <c r="BB129" s="104">
        <v>0.53697399999999995</v>
      </c>
      <c r="BC129" s="83">
        <v>324.70699999999999</v>
      </c>
      <c r="BD129" s="83">
        <v>-89.721699999999998</v>
      </c>
      <c r="BE129" s="83">
        <v>117.494</v>
      </c>
      <c r="BF129" s="41">
        <v>-41.931152339999997</v>
      </c>
      <c r="BG129" s="41"/>
      <c r="BH129" s="39"/>
    </row>
    <row r="130" spans="1:60">
      <c r="A130" s="2">
        <v>46050</v>
      </c>
      <c r="B130" t="s">
        <v>90</v>
      </c>
      <c r="C130">
        <v>64286</v>
      </c>
      <c r="D130">
        <v>1649</v>
      </c>
      <c r="E130" t="s">
        <v>124</v>
      </c>
      <c r="F130" t="s">
        <v>65</v>
      </c>
      <c r="G130" t="s">
        <v>47</v>
      </c>
      <c r="H130" t="s">
        <v>48</v>
      </c>
      <c r="I130" t="s">
        <v>227</v>
      </c>
      <c r="J130" t="s">
        <v>50</v>
      </c>
      <c r="O130" s="78">
        <v>3</v>
      </c>
      <c r="T130" s="104">
        <v>9</v>
      </c>
      <c r="U130" s="72">
        <v>3.553493977</v>
      </c>
      <c r="V130" s="72">
        <v>725.08203130000004</v>
      </c>
      <c r="W130" s="72">
        <f t="shared" si="7"/>
        <v>721.52853732300002</v>
      </c>
      <c r="X130" s="105">
        <v>1</v>
      </c>
      <c r="AE130" s="118">
        <v>0</v>
      </c>
      <c r="AF130" s="119">
        <v>0</v>
      </c>
      <c r="AG130" s="119">
        <v>3</v>
      </c>
      <c r="AH130" s="119">
        <v>10</v>
      </c>
      <c r="AI130" s="119">
        <v>13</v>
      </c>
      <c r="AJ130" s="119">
        <v>18</v>
      </c>
      <c r="AK130" s="119">
        <v>20</v>
      </c>
      <c r="AL130" s="119">
        <v>20</v>
      </c>
      <c r="AM130" s="119">
        <v>23</v>
      </c>
      <c r="AN130" s="119">
        <v>22</v>
      </c>
      <c r="AO130" s="119">
        <v>23</v>
      </c>
      <c r="AP130" s="119">
        <v>24</v>
      </c>
      <c r="AQ130" s="119">
        <v>22</v>
      </c>
      <c r="AR130" s="119">
        <v>19</v>
      </c>
      <c r="AS130" s="119">
        <v>17</v>
      </c>
      <c r="AT130" s="131">
        <v>18</v>
      </c>
      <c r="AU130" s="134">
        <v>3</v>
      </c>
      <c r="AV130" s="126">
        <v>24</v>
      </c>
      <c r="BB130" s="104">
        <v>0.49709900000000001</v>
      </c>
      <c r="BC130" s="83">
        <v>592.65139999999997</v>
      </c>
      <c r="BD130" s="83">
        <v>-121.46</v>
      </c>
      <c r="BE130" s="83">
        <v>123.3733</v>
      </c>
      <c r="BF130" s="41">
        <v>-39.764404300000002</v>
      </c>
      <c r="BG130" s="41"/>
      <c r="BH130" s="39"/>
    </row>
    <row r="131" spans="1:60">
      <c r="A131" s="2">
        <v>46050</v>
      </c>
      <c r="B131" t="s">
        <v>90</v>
      </c>
      <c r="C131">
        <v>64287</v>
      </c>
      <c r="D131">
        <v>1650</v>
      </c>
      <c r="E131" t="s">
        <v>126</v>
      </c>
      <c r="F131" t="s">
        <v>65</v>
      </c>
      <c r="G131" t="s">
        <v>47</v>
      </c>
      <c r="H131" t="s">
        <v>54</v>
      </c>
      <c r="J131" t="s">
        <v>50</v>
      </c>
      <c r="O131" s="4"/>
      <c r="T131" s="104">
        <v>2</v>
      </c>
      <c r="U131" s="72">
        <v>-15.787678720000001</v>
      </c>
      <c r="V131" s="72">
        <v>525.26226810000003</v>
      </c>
      <c r="W131" s="72">
        <f t="shared" si="7"/>
        <v>541.04994682000006</v>
      </c>
      <c r="X131" s="105">
        <v>1</v>
      </c>
      <c r="AE131" s="118">
        <v>0</v>
      </c>
      <c r="AF131" s="119">
        <v>0</v>
      </c>
      <c r="AG131" s="119">
        <v>0</v>
      </c>
      <c r="AH131" s="119">
        <v>1</v>
      </c>
      <c r="AI131" s="119">
        <v>4</v>
      </c>
      <c r="AJ131" s="119">
        <v>5</v>
      </c>
      <c r="AK131" s="119">
        <v>4</v>
      </c>
      <c r="AL131" s="119">
        <v>6</v>
      </c>
      <c r="AM131" s="119">
        <v>4</v>
      </c>
      <c r="AN131" s="119">
        <v>4</v>
      </c>
      <c r="AO131" s="119">
        <v>5</v>
      </c>
      <c r="AP131" s="119">
        <v>2</v>
      </c>
      <c r="AQ131" s="119">
        <v>1</v>
      </c>
      <c r="AR131" s="119">
        <v>1</v>
      </c>
      <c r="AS131" s="119">
        <v>1</v>
      </c>
      <c r="AT131" s="131">
        <v>1</v>
      </c>
      <c r="AU131" s="134">
        <v>1</v>
      </c>
      <c r="AV131" s="126">
        <v>6</v>
      </c>
      <c r="BB131" s="104">
        <v>0.56528500000000004</v>
      </c>
      <c r="BC131" s="83">
        <v>566.40629999999999</v>
      </c>
      <c r="BD131" s="83">
        <v>-127.563</v>
      </c>
      <c r="BE131" s="83">
        <v>126.5535</v>
      </c>
      <c r="BF131" s="41">
        <v>-46.844482419999999</v>
      </c>
      <c r="BG131" s="41"/>
      <c r="BH131" s="39"/>
    </row>
    <row r="132" spans="1:60">
      <c r="A132" s="2">
        <v>46050</v>
      </c>
      <c r="B132" t="s">
        <v>90</v>
      </c>
      <c r="C132">
        <v>64287</v>
      </c>
      <c r="D132">
        <v>1651</v>
      </c>
      <c r="E132" t="s">
        <v>145</v>
      </c>
      <c r="F132" t="s">
        <v>65</v>
      </c>
      <c r="G132" t="s">
        <v>47</v>
      </c>
      <c r="H132" t="s">
        <v>54</v>
      </c>
      <c r="I132" t="s">
        <v>228</v>
      </c>
      <c r="J132" t="s">
        <v>50</v>
      </c>
      <c r="O132" s="78">
        <v>12</v>
      </c>
      <c r="T132" s="104">
        <v>3</v>
      </c>
      <c r="U132" s="72">
        <v>-74.476013179999995</v>
      </c>
      <c r="V132" s="72">
        <v>440.89291379999997</v>
      </c>
      <c r="W132" s="72">
        <f t="shared" si="7"/>
        <v>515.36892697999997</v>
      </c>
      <c r="X132" s="105">
        <v>1</v>
      </c>
      <c r="AE132" s="118">
        <v>0</v>
      </c>
      <c r="AF132" s="119">
        <v>0</v>
      </c>
      <c r="AG132" s="119">
        <v>0</v>
      </c>
      <c r="AH132" s="119">
        <v>5</v>
      </c>
      <c r="AI132" s="119">
        <v>12</v>
      </c>
      <c r="AJ132" s="119">
        <v>15</v>
      </c>
      <c r="AK132" s="119">
        <v>20</v>
      </c>
      <c r="AL132" s="119">
        <v>18</v>
      </c>
      <c r="AM132" s="119">
        <v>19</v>
      </c>
      <c r="AN132" s="119">
        <v>19</v>
      </c>
      <c r="AO132" s="119">
        <v>16</v>
      </c>
      <c r="AP132" s="119">
        <v>16</v>
      </c>
      <c r="AQ132" s="119">
        <v>14</v>
      </c>
      <c r="AR132" s="119">
        <v>10</v>
      </c>
      <c r="AS132" s="119">
        <v>1</v>
      </c>
      <c r="AT132" s="131">
        <v>1</v>
      </c>
      <c r="AU132" s="134">
        <v>5</v>
      </c>
      <c r="AV132" s="126">
        <v>20</v>
      </c>
      <c r="BB132" s="104">
        <v>0.53851700000000002</v>
      </c>
      <c r="BC132" s="83">
        <v>339.9658</v>
      </c>
      <c r="BD132" s="83">
        <v>-104.98</v>
      </c>
      <c r="BE132" s="83">
        <v>108.545</v>
      </c>
      <c r="BF132" s="41">
        <v>-36.102294919999999</v>
      </c>
      <c r="BG132" s="41"/>
      <c r="BH132" s="39"/>
    </row>
    <row r="133" spans="1:60">
      <c r="A133" s="2">
        <v>46051</v>
      </c>
      <c r="B133" t="s">
        <v>90</v>
      </c>
      <c r="C133">
        <v>64278</v>
      </c>
      <c r="D133">
        <v>1652</v>
      </c>
      <c r="E133" t="s">
        <v>140</v>
      </c>
      <c r="F133" t="s">
        <v>46</v>
      </c>
      <c r="G133" t="s">
        <v>57</v>
      </c>
      <c r="H133" t="s">
        <v>54</v>
      </c>
      <c r="J133" t="s">
        <v>50</v>
      </c>
      <c r="O133" s="78">
        <v>7</v>
      </c>
      <c r="T133" s="104">
        <v>6</v>
      </c>
      <c r="U133" s="72">
        <v>-25.435077669999998</v>
      </c>
      <c r="V133" s="72">
        <v>412.34725950000001</v>
      </c>
      <c r="W133" s="72">
        <f t="shared" si="7"/>
        <v>437.78233717000001</v>
      </c>
      <c r="X133" s="105">
        <v>1</v>
      </c>
      <c r="AE133" s="118">
        <v>0</v>
      </c>
      <c r="AF133" s="119">
        <v>0</v>
      </c>
      <c r="AG133" s="119">
        <v>2</v>
      </c>
      <c r="AH133" s="119">
        <v>7</v>
      </c>
      <c r="AI133" s="119">
        <v>12</v>
      </c>
      <c r="AJ133" s="119">
        <v>14</v>
      </c>
      <c r="AK133" s="119">
        <v>13</v>
      </c>
      <c r="AL133" s="119">
        <v>12</v>
      </c>
      <c r="AM133" s="119">
        <v>9</v>
      </c>
      <c r="AN133" s="119">
        <v>9</v>
      </c>
      <c r="AO133" s="119">
        <v>7</v>
      </c>
      <c r="AP133" s="119">
        <v>7</v>
      </c>
      <c r="AQ133" s="119">
        <v>4</v>
      </c>
      <c r="AR133" s="119">
        <v>2</v>
      </c>
      <c r="AS133" s="119">
        <v>2</v>
      </c>
      <c r="AT133" s="131">
        <v>2</v>
      </c>
      <c r="AU133" s="134">
        <v>2</v>
      </c>
      <c r="AV133" s="126">
        <v>14</v>
      </c>
      <c r="BB133" s="104">
        <v>0.60475699999999999</v>
      </c>
      <c r="BC133" s="83">
        <v>357.0557</v>
      </c>
      <c r="BD133" s="83">
        <v>-85.449200000000005</v>
      </c>
      <c r="BE133" s="83">
        <v>115.309</v>
      </c>
      <c r="BF133" s="41">
        <v>-48.767089839999997</v>
      </c>
      <c r="BG133" s="41"/>
      <c r="BH133" s="39"/>
    </row>
    <row r="134" spans="1:60">
      <c r="A134" s="2">
        <v>46051</v>
      </c>
      <c r="B134" t="s">
        <v>90</v>
      </c>
      <c r="C134">
        <v>64278</v>
      </c>
      <c r="D134">
        <v>1653</v>
      </c>
      <c r="E134" t="s">
        <v>142</v>
      </c>
      <c r="F134" t="s">
        <v>46</v>
      </c>
      <c r="G134" t="s">
        <v>57</v>
      </c>
      <c r="H134" t="s">
        <v>54</v>
      </c>
      <c r="I134" t="s">
        <v>229</v>
      </c>
      <c r="J134" t="s">
        <v>50</v>
      </c>
      <c r="O134" s="78">
        <v>6</v>
      </c>
      <c r="T134" s="104">
        <v>5</v>
      </c>
      <c r="U134" s="72">
        <v>-6.0055785180000001</v>
      </c>
      <c r="V134" s="72">
        <v>715.2850952</v>
      </c>
      <c r="W134" s="72">
        <f t="shared" si="7"/>
        <v>721.29067371799999</v>
      </c>
      <c r="X134" s="105">
        <v>1</v>
      </c>
      <c r="AE134" s="118">
        <v>0</v>
      </c>
      <c r="AF134" s="119">
        <v>0</v>
      </c>
      <c r="AG134" s="119">
        <v>0</v>
      </c>
      <c r="AH134" s="119">
        <v>6</v>
      </c>
      <c r="AI134" s="119">
        <v>10</v>
      </c>
      <c r="AJ134" s="119">
        <v>12</v>
      </c>
      <c r="AK134" s="119">
        <v>15</v>
      </c>
      <c r="AL134" s="119">
        <v>14</v>
      </c>
      <c r="AM134" s="119">
        <v>19</v>
      </c>
      <c r="AN134" s="119">
        <v>20</v>
      </c>
      <c r="AO134" s="119">
        <v>19</v>
      </c>
      <c r="AP134" s="119">
        <v>18</v>
      </c>
      <c r="AQ134" s="119">
        <v>16</v>
      </c>
      <c r="AR134" s="119">
        <v>15</v>
      </c>
      <c r="AS134" s="119">
        <v>13</v>
      </c>
      <c r="AT134" s="131">
        <v>6</v>
      </c>
      <c r="AU134" s="134">
        <v>6</v>
      </c>
      <c r="AV134" s="126">
        <v>20</v>
      </c>
      <c r="BB134" s="104">
        <v>0.64014899999999997</v>
      </c>
      <c r="BC134" s="83">
        <v>445.5566</v>
      </c>
      <c r="BD134" s="83">
        <v>-87.890600000000006</v>
      </c>
      <c r="BE134" s="83">
        <v>125.3933</v>
      </c>
      <c r="BF134" s="41">
        <v>-36.041259770000003</v>
      </c>
      <c r="BG134" s="41"/>
      <c r="BH134" s="39"/>
    </row>
    <row r="135" spans="1:60">
      <c r="A135" s="2">
        <v>46051</v>
      </c>
      <c r="B135" t="s">
        <v>90</v>
      </c>
      <c r="C135">
        <v>64278</v>
      </c>
      <c r="D135" s="19">
        <v>1654</v>
      </c>
      <c r="E135" t="s">
        <v>184</v>
      </c>
      <c r="F135" t="s">
        <v>46</v>
      </c>
      <c r="G135" t="s">
        <v>57</v>
      </c>
      <c r="H135" t="s">
        <v>54</v>
      </c>
      <c r="J135" t="s">
        <v>50</v>
      </c>
      <c r="O135" s="78">
        <v>12</v>
      </c>
      <c r="T135" s="104">
        <v>2</v>
      </c>
      <c r="U135" s="72">
        <v>-39.907779689999998</v>
      </c>
      <c r="V135" s="72">
        <v>1222.7845460000001</v>
      </c>
      <c r="W135" s="72">
        <f t="shared" si="7"/>
        <v>1262.6923256900002</v>
      </c>
      <c r="X135" s="105">
        <v>1</v>
      </c>
      <c r="AE135" s="118">
        <v>0</v>
      </c>
      <c r="AF135" s="119">
        <v>0</v>
      </c>
      <c r="AG135" s="119">
        <v>0</v>
      </c>
      <c r="AH135" s="119">
        <v>0</v>
      </c>
      <c r="AI135" s="119">
        <v>6</v>
      </c>
      <c r="AJ135" s="119">
        <v>12</v>
      </c>
      <c r="AK135" s="119">
        <v>15</v>
      </c>
      <c r="AL135" s="119">
        <v>19</v>
      </c>
      <c r="AM135" s="119">
        <v>21</v>
      </c>
      <c r="AN135" s="119">
        <v>23</v>
      </c>
      <c r="AO135" s="119">
        <v>24</v>
      </c>
      <c r="AP135" s="119">
        <v>26</v>
      </c>
      <c r="AQ135" s="119">
        <v>24</v>
      </c>
      <c r="AR135" s="119">
        <v>17</v>
      </c>
      <c r="AS135" s="119">
        <v>19</v>
      </c>
      <c r="AT135" s="131">
        <v>13</v>
      </c>
      <c r="AU135" s="134">
        <v>6</v>
      </c>
      <c r="AV135" s="126">
        <v>26</v>
      </c>
      <c r="BB135" s="104">
        <v>0.63731700000000002</v>
      </c>
      <c r="BC135" s="83">
        <v>302.12400000000002</v>
      </c>
      <c r="BD135" s="83">
        <v>-89.721699999999998</v>
      </c>
      <c r="BE135" s="83">
        <v>118.22239999999999</v>
      </c>
      <c r="BF135" s="146">
        <v>-39.428710940000002</v>
      </c>
      <c r="BG135" s="146" t="s">
        <v>70</v>
      </c>
      <c r="BH135" s="147" t="s">
        <v>146</v>
      </c>
    </row>
    <row r="136" spans="1:60">
      <c r="A136" s="2">
        <v>46051</v>
      </c>
      <c r="B136" t="s">
        <v>158</v>
      </c>
      <c r="C136">
        <v>64278</v>
      </c>
      <c r="D136">
        <v>1655</v>
      </c>
      <c r="E136" t="s">
        <v>230</v>
      </c>
      <c r="F136" t="s">
        <v>46</v>
      </c>
      <c r="G136" t="s">
        <v>57</v>
      </c>
      <c r="H136" t="s">
        <v>54</v>
      </c>
      <c r="J136" t="s">
        <v>50</v>
      </c>
      <c r="O136" s="78">
        <v>18</v>
      </c>
      <c r="T136" s="104">
        <v>4</v>
      </c>
      <c r="U136" s="72">
        <v>-3.5734779830000001</v>
      </c>
      <c r="V136" s="72">
        <v>276.5831604</v>
      </c>
      <c r="W136" s="72">
        <f t="shared" si="7"/>
        <v>280.15663838299997</v>
      </c>
      <c r="X136" s="105">
        <v>1</v>
      </c>
      <c r="AE136" s="118">
        <v>0</v>
      </c>
      <c r="AF136" s="119">
        <v>2</v>
      </c>
      <c r="AG136" s="119">
        <v>18</v>
      </c>
      <c r="AH136" s="119">
        <v>24</v>
      </c>
      <c r="AI136" s="119">
        <v>27</v>
      </c>
      <c r="AJ136" s="119">
        <v>27</v>
      </c>
      <c r="AK136" s="119">
        <v>22</v>
      </c>
      <c r="AL136" s="119">
        <v>20</v>
      </c>
      <c r="AM136" s="119">
        <v>6</v>
      </c>
      <c r="AN136" s="119">
        <v>1</v>
      </c>
      <c r="AO136" s="119">
        <v>1</v>
      </c>
      <c r="AP136" s="119">
        <v>1</v>
      </c>
      <c r="AQ136" s="119">
        <v>1</v>
      </c>
      <c r="AR136" s="119">
        <v>1</v>
      </c>
      <c r="AS136" s="119">
        <v>1</v>
      </c>
      <c r="AT136" s="131">
        <v>1</v>
      </c>
      <c r="AU136" s="134">
        <v>2</v>
      </c>
      <c r="AV136" s="126">
        <v>27</v>
      </c>
      <c r="BB136" s="104">
        <v>0.84984599999999999</v>
      </c>
      <c r="BC136" s="83">
        <v>367.4316</v>
      </c>
      <c r="BD136" s="83">
        <v>-61.645499999999998</v>
      </c>
      <c r="BE136" s="83">
        <v>120.6033</v>
      </c>
      <c r="BF136" s="41">
        <v>-51.208496089999997</v>
      </c>
      <c r="BG136" s="41"/>
      <c r="BH136" s="39"/>
    </row>
    <row r="137" spans="1:60">
      <c r="A137" s="2">
        <v>46051</v>
      </c>
      <c r="B137" t="s">
        <v>90</v>
      </c>
      <c r="C137">
        <v>64279</v>
      </c>
      <c r="D137">
        <v>1656</v>
      </c>
      <c r="E137" t="s">
        <v>231</v>
      </c>
      <c r="F137" t="s">
        <v>46</v>
      </c>
      <c r="G137" t="s">
        <v>57</v>
      </c>
      <c r="H137" t="s">
        <v>48</v>
      </c>
      <c r="I137" t="s">
        <v>232</v>
      </c>
      <c r="J137" t="s">
        <v>50</v>
      </c>
      <c r="O137" s="78">
        <v>3</v>
      </c>
      <c r="T137" s="104">
        <v>5</v>
      </c>
      <c r="U137" s="72">
        <v>-54.51304245</v>
      </c>
      <c r="V137" s="72">
        <v>666.81689449999999</v>
      </c>
      <c r="W137" s="72">
        <f t="shared" si="7"/>
        <v>721.32993695000005</v>
      </c>
      <c r="X137" s="105">
        <v>1</v>
      </c>
      <c r="AE137" s="118">
        <v>0</v>
      </c>
      <c r="AF137" s="119">
        <v>0</v>
      </c>
      <c r="AG137" s="119">
        <v>0</v>
      </c>
      <c r="AH137" s="119">
        <v>0</v>
      </c>
      <c r="AI137" s="119">
        <v>3</v>
      </c>
      <c r="AJ137" s="119">
        <v>5</v>
      </c>
      <c r="AK137" s="119">
        <v>8</v>
      </c>
      <c r="AL137" s="119">
        <v>9</v>
      </c>
      <c r="AM137" s="119">
        <v>11</v>
      </c>
      <c r="AN137" s="119">
        <v>12</v>
      </c>
      <c r="AO137" s="119">
        <v>13</v>
      </c>
      <c r="AP137" s="119">
        <v>15</v>
      </c>
      <c r="AQ137" s="119">
        <v>16</v>
      </c>
      <c r="AR137" s="119">
        <v>14</v>
      </c>
      <c r="AS137" s="119">
        <v>15</v>
      </c>
      <c r="AT137" s="131">
        <v>14</v>
      </c>
      <c r="AU137" s="134">
        <v>3</v>
      </c>
      <c r="AV137" s="126">
        <v>16</v>
      </c>
      <c r="BB137" s="104">
        <v>0.75575899999999996</v>
      </c>
      <c r="BC137" s="83">
        <v>352.78320000000002</v>
      </c>
      <c r="BD137" s="83">
        <v>-69.580100000000002</v>
      </c>
      <c r="BE137" s="83">
        <v>123.1322</v>
      </c>
      <c r="BF137" s="41">
        <v>-39.855957029999999</v>
      </c>
      <c r="BG137" s="41"/>
      <c r="BH137" s="39"/>
    </row>
    <row r="138" spans="1:60">
      <c r="A138" s="2">
        <v>46051</v>
      </c>
      <c r="B138" t="s">
        <v>90</v>
      </c>
      <c r="C138">
        <v>64279</v>
      </c>
      <c r="D138">
        <v>1657</v>
      </c>
      <c r="E138" t="s">
        <v>233</v>
      </c>
      <c r="F138" t="s">
        <v>46</v>
      </c>
      <c r="G138" t="s">
        <v>57</v>
      </c>
      <c r="H138" t="s">
        <v>48</v>
      </c>
      <c r="I138" t="s">
        <v>234</v>
      </c>
      <c r="J138" t="s">
        <v>50</v>
      </c>
      <c r="O138" s="78">
        <v>4</v>
      </c>
      <c r="T138" s="104">
        <v>3</v>
      </c>
      <c r="U138" s="72">
        <v>-122.9345093</v>
      </c>
      <c r="V138" s="72">
        <v>495.85586549999999</v>
      </c>
      <c r="W138" s="72">
        <f t="shared" si="7"/>
        <v>618.7903748</v>
      </c>
      <c r="X138" s="105">
        <v>1</v>
      </c>
      <c r="AE138" s="118">
        <v>0</v>
      </c>
      <c r="AF138" s="119">
        <v>0</v>
      </c>
      <c r="AG138" s="119">
        <v>0</v>
      </c>
      <c r="AH138" s="119">
        <v>0</v>
      </c>
      <c r="AI138" s="119">
        <v>4</v>
      </c>
      <c r="AJ138" s="119">
        <v>6</v>
      </c>
      <c r="AK138" s="119">
        <v>9</v>
      </c>
      <c r="AL138" s="119">
        <v>14</v>
      </c>
      <c r="AM138" s="119">
        <v>12</v>
      </c>
      <c r="AN138" s="119">
        <v>14</v>
      </c>
      <c r="AO138" s="119">
        <v>13</v>
      </c>
      <c r="AP138" s="119">
        <v>13</v>
      </c>
      <c r="AQ138" s="119">
        <v>13</v>
      </c>
      <c r="AR138" s="119">
        <v>14</v>
      </c>
      <c r="AS138" s="119">
        <v>11</v>
      </c>
      <c r="AT138" s="131">
        <v>9</v>
      </c>
      <c r="AU138" s="134">
        <v>4</v>
      </c>
      <c r="AV138" s="126">
        <v>14</v>
      </c>
      <c r="BB138" s="104">
        <v>0.72989599999999999</v>
      </c>
      <c r="BC138" s="83">
        <v>396.1182</v>
      </c>
      <c r="BD138" s="83">
        <v>-72.021500000000003</v>
      </c>
      <c r="BE138" s="83">
        <v>123.9301</v>
      </c>
      <c r="BF138" s="41">
        <v>-38.269042970000001</v>
      </c>
      <c r="BG138" s="41"/>
      <c r="BH138" s="39"/>
    </row>
    <row r="139" spans="1:60">
      <c r="A139" s="2">
        <v>46051</v>
      </c>
      <c r="B139" t="s">
        <v>158</v>
      </c>
      <c r="C139">
        <v>64279</v>
      </c>
      <c r="D139" s="19">
        <v>1658</v>
      </c>
      <c r="E139" t="s">
        <v>145</v>
      </c>
      <c r="F139" t="s">
        <v>46</v>
      </c>
      <c r="G139" t="s">
        <v>57</v>
      </c>
      <c r="H139" t="s">
        <v>48</v>
      </c>
      <c r="I139" t="s">
        <v>235</v>
      </c>
      <c r="J139" t="s">
        <v>50</v>
      </c>
      <c r="O139" s="78">
        <v>4</v>
      </c>
      <c r="T139" s="104">
        <v>2</v>
      </c>
      <c r="U139" s="72">
        <v>1.299723864</v>
      </c>
      <c r="V139" s="72">
        <v>230.88504030000001</v>
      </c>
      <c r="W139" s="72">
        <f t="shared" si="7"/>
        <v>229.58531643600003</v>
      </c>
      <c r="X139" s="105">
        <v>1</v>
      </c>
      <c r="AE139" s="118">
        <v>0</v>
      </c>
      <c r="AF139" s="119">
        <v>4</v>
      </c>
      <c r="AG139" s="119">
        <v>2</v>
      </c>
      <c r="AH139" s="119">
        <v>1</v>
      </c>
      <c r="AI139" s="119">
        <v>1</v>
      </c>
      <c r="AJ139" s="119">
        <v>1</v>
      </c>
      <c r="AK139" s="119">
        <v>1</v>
      </c>
      <c r="AL139" s="119">
        <v>1</v>
      </c>
      <c r="AM139" s="119">
        <v>1</v>
      </c>
      <c r="AN139" s="119">
        <v>1</v>
      </c>
      <c r="AO139" s="119">
        <v>1</v>
      </c>
      <c r="AP139" s="119">
        <v>1</v>
      </c>
      <c r="AQ139" s="119">
        <v>1</v>
      </c>
      <c r="AR139" s="119">
        <v>1</v>
      </c>
      <c r="AS139" s="119">
        <v>1</v>
      </c>
      <c r="AT139" s="131">
        <v>1</v>
      </c>
      <c r="AU139" s="134">
        <v>4</v>
      </c>
      <c r="AV139" s="126">
        <v>4</v>
      </c>
      <c r="BB139" s="104">
        <v>1.1934880000000001</v>
      </c>
      <c r="BC139" s="83">
        <v>161.7432</v>
      </c>
      <c r="BD139" s="83">
        <v>-26.855499999999999</v>
      </c>
      <c r="BE139" s="83">
        <v>100.5198</v>
      </c>
      <c r="BF139" s="146">
        <v>-56.121826169999999</v>
      </c>
      <c r="BG139" s="146" t="s">
        <v>70</v>
      </c>
      <c r="BH139" s="147" t="s">
        <v>75</v>
      </c>
    </row>
    <row r="140" spans="1:60">
      <c r="A140" s="2">
        <v>46051</v>
      </c>
      <c r="B140" t="s">
        <v>90</v>
      </c>
      <c r="C140">
        <v>64279</v>
      </c>
      <c r="D140">
        <v>1659</v>
      </c>
      <c r="E140" t="s">
        <v>236</v>
      </c>
      <c r="F140" t="s">
        <v>46</v>
      </c>
      <c r="G140" t="s">
        <v>57</v>
      </c>
      <c r="H140" t="s">
        <v>48</v>
      </c>
      <c r="J140" t="s">
        <v>50</v>
      </c>
      <c r="O140" s="78">
        <v>2</v>
      </c>
      <c r="T140" s="104">
        <v>5</v>
      </c>
      <c r="U140" s="72">
        <v>8.3453865050000005</v>
      </c>
      <c r="V140" s="72">
        <v>936.09149170000001</v>
      </c>
      <c r="W140" s="72">
        <f t="shared" si="7"/>
        <v>927.74610519500004</v>
      </c>
      <c r="X140" s="105">
        <v>1</v>
      </c>
      <c r="AE140" s="118">
        <v>0</v>
      </c>
      <c r="AF140" s="119">
        <v>0</v>
      </c>
      <c r="AG140" s="119">
        <v>0</v>
      </c>
      <c r="AH140" s="119">
        <v>0</v>
      </c>
      <c r="AI140" s="119">
        <v>2</v>
      </c>
      <c r="AJ140" s="119">
        <v>6</v>
      </c>
      <c r="AK140" s="119">
        <v>10</v>
      </c>
      <c r="AL140" s="119">
        <v>11</v>
      </c>
      <c r="AM140" s="119">
        <v>13</v>
      </c>
      <c r="AN140" s="119">
        <v>16</v>
      </c>
      <c r="AO140" s="119">
        <v>15</v>
      </c>
      <c r="AP140" s="119">
        <v>18</v>
      </c>
      <c r="AQ140" s="119">
        <v>15</v>
      </c>
      <c r="AR140" s="119">
        <v>13</v>
      </c>
      <c r="AS140" s="119">
        <v>9</v>
      </c>
      <c r="AT140" s="131">
        <v>11</v>
      </c>
      <c r="AU140" s="134">
        <v>2</v>
      </c>
      <c r="AV140" s="126">
        <v>18</v>
      </c>
      <c r="BB140" s="104">
        <v>0.54552100000000003</v>
      </c>
      <c r="BC140" s="83">
        <v>391.84570000000002</v>
      </c>
      <c r="BD140" s="83">
        <v>-103.76</v>
      </c>
      <c r="BE140" s="83">
        <v>118.95180000000001</v>
      </c>
      <c r="BF140" s="41">
        <v>-43.548583979999997</v>
      </c>
      <c r="BG140" s="41"/>
      <c r="BH140" s="39"/>
    </row>
    <row r="141" spans="1:60">
      <c r="A141" s="2">
        <v>46052</v>
      </c>
      <c r="B141" t="s">
        <v>90</v>
      </c>
      <c r="C141">
        <v>64288</v>
      </c>
      <c r="D141" s="19">
        <v>1660</v>
      </c>
      <c r="E141" t="s">
        <v>91</v>
      </c>
      <c r="F141" t="s">
        <v>65</v>
      </c>
      <c r="G141" t="s">
        <v>47</v>
      </c>
      <c r="H141" t="s">
        <v>48</v>
      </c>
      <c r="J141" t="s">
        <v>50</v>
      </c>
      <c r="O141" s="78">
        <v>4</v>
      </c>
      <c r="T141" s="104">
        <v>5</v>
      </c>
      <c r="U141" s="72">
        <v>-225.366333</v>
      </c>
      <c r="V141" s="72">
        <v>496.45056149999999</v>
      </c>
      <c r="W141" s="72">
        <f t="shared" si="7"/>
        <v>721.81689449999999</v>
      </c>
      <c r="X141" s="105">
        <v>1</v>
      </c>
      <c r="AE141" s="118">
        <v>0</v>
      </c>
      <c r="AF141" s="119">
        <v>0</v>
      </c>
      <c r="AG141" s="119">
        <v>0</v>
      </c>
      <c r="AH141" s="119">
        <v>0</v>
      </c>
      <c r="AI141" s="119">
        <v>0</v>
      </c>
      <c r="AJ141" s="119">
        <v>1</v>
      </c>
      <c r="AK141" s="119">
        <v>4</v>
      </c>
      <c r="AL141" s="119">
        <v>4</v>
      </c>
      <c r="AM141" s="119">
        <v>5</v>
      </c>
      <c r="AN141" s="119">
        <v>4</v>
      </c>
      <c r="AO141" s="119">
        <v>6</v>
      </c>
      <c r="AP141" s="119">
        <v>7</v>
      </c>
      <c r="AQ141" s="119">
        <v>8</v>
      </c>
      <c r="AR141" s="119">
        <v>1</v>
      </c>
      <c r="AS141" s="119">
        <v>1</v>
      </c>
      <c r="AT141" s="131">
        <v>1</v>
      </c>
      <c r="AU141" s="134">
        <v>1</v>
      </c>
      <c r="AV141" s="126">
        <v>8</v>
      </c>
      <c r="BB141" s="104">
        <v>0.57584800000000003</v>
      </c>
      <c r="BC141" s="83">
        <v>506.59179999999998</v>
      </c>
      <c r="BD141" s="83">
        <v>-96.435500000000005</v>
      </c>
      <c r="BE141" s="83">
        <v>128.07929999999999</v>
      </c>
      <c r="BF141" s="146">
        <v>-46.173095699999998</v>
      </c>
      <c r="BG141" s="146" t="s">
        <v>70</v>
      </c>
      <c r="BH141" s="147" t="s">
        <v>75</v>
      </c>
    </row>
    <row r="142" spans="1:60">
      <c r="A142" s="2">
        <v>46052</v>
      </c>
      <c r="B142" t="s">
        <v>90</v>
      </c>
      <c r="C142">
        <v>64288</v>
      </c>
      <c r="D142" s="19">
        <v>1661</v>
      </c>
      <c r="E142" t="s">
        <v>237</v>
      </c>
      <c r="F142" t="s">
        <v>65</v>
      </c>
      <c r="G142" t="s">
        <v>47</v>
      </c>
      <c r="H142" t="s">
        <v>48</v>
      </c>
      <c r="J142" t="s">
        <v>50</v>
      </c>
      <c r="O142" s="78">
        <v>2</v>
      </c>
      <c r="T142" s="104">
        <v>5</v>
      </c>
      <c r="U142" s="72">
        <v>-152.0040894</v>
      </c>
      <c r="V142" s="72">
        <v>672.43524170000001</v>
      </c>
      <c r="W142" s="72">
        <f t="shared" si="7"/>
        <v>824.4393311</v>
      </c>
      <c r="X142" s="105">
        <v>1</v>
      </c>
      <c r="AE142" s="118">
        <v>0</v>
      </c>
      <c r="AF142" s="119">
        <v>0</v>
      </c>
      <c r="AG142" s="119">
        <v>0</v>
      </c>
      <c r="AH142" s="119">
        <v>0</v>
      </c>
      <c r="AI142" s="119">
        <v>0</v>
      </c>
      <c r="AJ142" s="119">
        <v>2</v>
      </c>
      <c r="AK142" s="119">
        <v>4</v>
      </c>
      <c r="AL142" s="119">
        <v>3</v>
      </c>
      <c r="AM142" s="119">
        <v>5</v>
      </c>
      <c r="AN142" s="119">
        <v>5</v>
      </c>
      <c r="AO142" s="119">
        <v>6</v>
      </c>
      <c r="AP142" s="119">
        <v>6</v>
      </c>
      <c r="AQ142" s="119">
        <v>4</v>
      </c>
      <c r="AR142" s="119">
        <v>1</v>
      </c>
      <c r="AS142" s="119">
        <v>1</v>
      </c>
      <c r="AT142" s="131">
        <v>1</v>
      </c>
      <c r="AU142" s="134">
        <v>2</v>
      </c>
      <c r="AV142" s="126">
        <v>6</v>
      </c>
      <c r="BB142" s="104">
        <v>0.53783499999999995</v>
      </c>
      <c r="BC142" s="83">
        <v>504.15039999999999</v>
      </c>
      <c r="BD142" s="83">
        <v>-97.045900000000003</v>
      </c>
      <c r="BE142" s="83">
        <v>127.71550000000001</v>
      </c>
      <c r="BF142" s="146">
        <v>-46.325683589999997</v>
      </c>
      <c r="BG142" s="146" t="s">
        <v>70</v>
      </c>
      <c r="BH142" s="147" t="s">
        <v>75</v>
      </c>
    </row>
    <row r="143" spans="1:60">
      <c r="A143" s="2">
        <v>46052</v>
      </c>
      <c r="B143" t="s">
        <v>90</v>
      </c>
      <c r="C143">
        <v>64288</v>
      </c>
      <c r="D143">
        <v>1662</v>
      </c>
      <c r="E143" t="s">
        <v>238</v>
      </c>
      <c r="F143" t="s">
        <v>65</v>
      </c>
      <c r="G143" t="s">
        <v>47</v>
      </c>
      <c r="H143" t="s">
        <v>48</v>
      </c>
      <c r="I143" t="s">
        <v>239</v>
      </c>
      <c r="J143" t="s">
        <v>50</v>
      </c>
      <c r="O143" s="78">
        <v>14</v>
      </c>
      <c r="T143" s="104">
        <v>2</v>
      </c>
      <c r="U143" s="72">
        <v>-6.1015324590000004</v>
      </c>
      <c r="V143" s="72">
        <v>328.275238</v>
      </c>
      <c r="W143" s="72">
        <f t="shared" si="7"/>
        <v>334.376770459</v>
      </c>
      <c r="X143" s="105">
        <v>1</v>
      </c>
      <c r="AE143" s="118">
        <v>0</v>
      </c>
      <c r="AF143" s="119">
        <v>0</v>
      </c>
      <c r="AG143" s="119">
        <v>14</v>
      </c>
      <c r="AH143" s="119">
        <v>21</v>
      </c>
      <c r="AI143" s="119">
        <v>19</v>
      </c>
      <c r="AJ143" s="119">
        <v>22</v>
      </c>
      <c r="AK143" s="119">
        <v>20</v>
      </c>
      <c r="AL143" s="119">
        <v>21</v>
      </c>
      <c r="AM143" s="119">
        <v>16</v>
      </c>
      <c r="AN143" s="119">
        <v>15</v>
      </c>
      <c r="AO143" s="119">
        <v>13</v>
      </c>
      <c r="AP143" s="119">
        <v>10</v>
      </c>
      <c r="AQ143" s="119">
        <v>9</v>
      </c>
      <c r="AR143" s="119">
        <v>5</v>
      </c>
      <c r="AS143" s="119">
        <v>1</v>
      </c>
      <c r="AT143" s="131">
        <v>1</v>
      </c>
      <c r="AU143" s="134">
        <v>14</v>
      </c>
      <c r="AV143" s="126">
        <v>22</v>
      </c>
      <c r="BB143" s="104">
        <v>0.46974300000000002</v>
      </c>
      <c r="BC143" s="83">
        <v>698.85249999999996</v>
      </c>
      <c r="BD143" s="83">
        <v>-114.746</v>
      </c>
      <c r="BE143" s="83">
        <v>124.0519</v>
      </c>
      <c r="BF143" s="41">
        <v>-48.706054690000002</v>
      </c>
      <c r="BG143" s="41"/>
      <c r="BH143" s="39"/>
    </row>
    <row r="144" spans="1:60">
      <c r="A144" s="2">
        <v>46052</v>
      </c>
      <c r="B144" t="s">
        <v>90</v>
      </c>
      <c r="C144">
        <v>64289</v>
      </c>
      <c r="D144" s="19">
        <v>1663</v>
      </c>
      <c r="E144" t="s">
        <v>240</v>
      </c>
      <c r="F144" t="s">
        <v>65</v>
      </c>
      <c r="G144" t="s">
        <v>47</v>
      </c>
      <c r="H144" t="s">
        <v>54</v>
      </c>
      <c r="I144" t="s">
        <v>241</v>
      </c>
      <c r="J144" t="s">
        <v>50</v>
      </c>
      <c r="O144" s="78">
        <v>2</v>
      </c>
      <c r="T144" s="104">
        <v>2</v>
      </c>
      <c r="U144" s="72">
        <v>-152.01383970000001</v>
      </c>
      <c r="V144" s="72">
        <v>492.28765870000001</v>
      </c>
      <c r="W144" s="72">
        <f t="shared" si="7"/>
        <v>644.30149840000001</v>
      </c>
      <c r="X144" s="105">
        <v>1</v>
      </c>
      <c r="AE144" s="118">
        <v>0</v>
      </c>
      <c r="AF144" s="119">
        <v>0</v>
      </c>
      <c r="AG144" s="119">
        <v>0</v>
      </c>
      <c r="AH144" s="119">
        <v>0</v>
      </c>
      <c r="AI144" s="119">
        <v>0</v>
      </c>
      <c r="AJ144" s="119">
        <v>2</v>
      </c>
      <c r="AK144" s="119">
        <v>4</v>
      </c>
      <c r="AL144" s="119">
        <v>6</v>
      </c>
      <c r="AM144" s="119">
        <v>10</v>
      </c>
      <c r="AN144" s="119">
        <v>10</v>
      </c>
      <c r="AO144" s="119">
        <v>11</v>
      </c>
      <c r="AP144" s="119">
        <v>11</v>
      </c>
      <c r="AQ144" s="119">
        <v>12</v>
      </c>
      <c r="AR144" s="119">
        <v>12</v>
      </c>
      <c r="AS144" s="119">
        <v>12</v>
      </c>
      <c r="AT144" s="131">
        <v>12</v>
      </c>
      <c r="AU144" s="134">
        <v>2</v>
      </c>
      <c r="AV144" s="126">
        <v>12</v>
      </c>
      <c r="BB144" s="104">
        <v>0.49799300000000002</v>
      </c>
      <c r="BC144" s="83">
        <v>341.18650000000002</v>
      </c>
      <c r="BD144" s="83">
        <v>-97.045900000000003</v>
      </c>
      <c r="BE144" s="83">
        <v>109.2704</v>
      </c>
      <c r="BF144" s="146">
        <v>-40.52734375</v>
      </c>
      <c r="BG144" s="146" t="s">
        <v>70</v>
      </c>
      <c r="BH144" s="147" t="s">
        <v>242</v>
      </c>
    </row>
    <row r="145" spans="1:60">
      <c r="A145" s="2">
        <v>46052</v>
      </c>
      <c r="B145" t="s">
        <v>90</v>
      </c>
      <c r="C145">
        <v>64289</v>
      </c>
      <c r="D145">
        <v>1664</v>
      </c>
      <c r="E145" t="s">
        <v>167</v>
      </c>
      <c r="F145" t="s">
        <v>65</v>
      </c>
      <c r="G145" t="s">
        <v>47</v>
      </c>
      <c r="H145" t="s">
        <v>54</v>
      </c>
      <c r="I145" t="s">
        <v>243</v>
      </c>
      <c r="J145" t="s">
        <v>50</v>
      </c>
      <c r="O145" s="78">
        <v>19</v>
      </c>
      <c r="T145" s="104">
        <v>4</v>
      </c>
      <c r="U145" s="72">
        <v>-6.0301389690000002</v>
      </c>
      <c r="V145" s="72">
        <v>380.2490234</v>
      </c>
      <c r="W145" s="72">
        <f t="shared" si="7"/>
        <v>386.27916236900001</v>
      </c>
      <c r="X145" s="105">
        <v>1</v>
      </c>
      <c r="AE145" s="118">
        <v>0</v>
      </c>
      <c r="AF145" s="119">
        <v>2</v>
      </c>
      <c r="AG145" s="119">
        <v>19</v>
      </c>
      <c r="AH145" s="119">
        <v>26</v>
      </c>
      <c r="AI145" s="119">
        <v>30</v>
      </c>
      <c r="AJ145" s="119">
        <v>32</v>
      </c>
      <c r="AK145" s="119">
        <v>32</v>
      </c>
      <c r="AL145" s="119">
        <v>29</v>
      </c>
      <c r="AM145" s="119">
        <v>24</v>
      </c>
      <c r="AN145" s="119">
        <v>22</v>
      </c>
      <c r="AO145" s="119">
        <v>20</v>
      </c>
      <c r="AP145" s="119">
        <v>17</v>
      </c>
      <c r="AQ145" s="119">
        <v>8</v>
      </c>
      <c r="AR145" s="119">
        <v>2</v>
      </c>
      <c r="AS145" s="119">
        <v>1</v>
      </c>
      <c r="AT145" s="131">
        <v>1</v>
      </c>
      <c r="AU145" s="134">
        <v>2</v>
      </c>
      <c r="AV145" s="126">
        <v>32</v>
      </c>
      <c r="BB145" s="104">
        <v>0.51597400000000004</v>
      </c>
      <c r="BC145" s="83">
        <v>513.3057</v>
      </c>
      <c r="BD145" s="83">
        <v>-117.188</v>
      </c>
      <c r="BE145" s="83">
        <v>114.64230000000001</v>
      </c>
      <c r="BF145" s="41">
        <v>-41.809082029999999</v>
      </c>
      <c r="BG145" s="41"/>
      <c r="BH145" s="39"/>
    </row>
    <row r="146" spans="1:60">
      <c r="A146" s="2">
        <v>46052</v>
      </c>
      <c r="B146" t="s">
        <v>90</v>
      </c>
      <c r="C146">
        <v>64289</v>
      </c>
      <c r="D146" s="19">
        <v>1665</v>
      </c>
      <c r="E146" t="s">
        <v>244</v>
      </c>
      <c r="F146" t="s">
        <v>65</v>
      </c>
      <c r="G146" t="s">
        <v>47</v>
      </c>
      <c r="H146" t="s">
        <v>54</v>
      </c>
      <c r="J146" t="s">
        <v>50</v>
      </c>
      <c r="O146" s="4" t="s">
        <v>152</v>
      </c>
      <c r="T146" s="110"/>
      <c r="U146" s="108"/>
      <c r="V146" s="108"/>
      <c r="W146" s="108">
        <f t="shared" si="7"/>
        <v>0</v>
      </c>
      <c r="X146" s="109" t="s">
        <v>152</v>
      </c>
      <c r="AE146" s="41" t="s">
        <v>152</v>
      </c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56"/>
      <c r="AU146" s="137" t="s">
        <v>152</v>
      </c>
      <c r="AV146" s="127" t="s">
        <v>152</v>
      </c>
      <c r="BB146" s="104"/>
      <c r="BC146" s="83"/>
      <c r="BD146" s="83"/>
      <c r="BE146" s="83"/>
      <c r="BF146" s="146"/>
      <c r="BG146" s="146" t="s">
        <v>70</v>
      </c>
      <c r="BH146" s="147" t="s">
        <v>89</v>
      </c>
    </row>
    <row r="147" spans="1:60">
      <c r="A147" s="2">
        <v>46057</v>
      </c>
      <c r="B147" t="s">
        <v>44</v>
      </c>
      <c r="C147">
        <v>64280</v>
      </c>
      <c r="D147">
        <v>1666</v>
      </c>
      <c r="E147" t="s">
        <v>140</v>
      </c>
      <c r="F147" t="s">
        <v>46</v>
      </c>
      <c r="G147" t="s">
        <v>47</v>
      </c>
      <c r="H147" t="s">
        <v>48</v>
      </c>
      <c r="I147" t="s">
        <v>245</v>
      </c>
      <c r="J147" t="s">
        <v>50</v>
      </c>
      <c r="O147" s="78">
        <v>1</v>
      </c>
      <c r="T147" s="104">
        <v>4</v>
      </c>
      <c r="U147" s="72">
        <v>-51.475170140000003</v>
      </c>
      <c r="V147" s="72">
        <v>529.8947144</v>
      </c>
      <c r="W147" s="72">
        <f>V147-U147</f>
        <v>581.36988454000004</v>
      </c>
      <c r="X147" s="105">
        <v>1</v>
      </c>
      <c r="AE147" s="118">
        <v>0</v>
      </c>
      <c r="AF147" s="119">
        <v>0</v>
      </c>
      <c r="AG147" s="119">
        <v>0</v>
      </c>
      <c r="AH147" s="119">
        <v>0</v>
      </c>
      <c r="AI147" s="119">
        <v>1</v>
      </c>
      <c r="AJ147" s="119">
        <v>4</v>
      </c>
      <c r="AK147" s="119">
        <v>2</v>
      </c>
      <c r="AL147" s="119">
        <v>4</v>
      </c>
      <c r="AM147" s="119">
        <v>2</v>
      </c>
      <c r="AN147" s="119">
        <v>2</v>
      </c>
      <c r="AO147" s="119">
        <v>2</v>
      </c>
      <c r="AP147" s="119">
        <v>1</v>
      </c>
      <c r="AQ147" s="119">
        <v>2</v>
      </c>
      <c r="AR147" s="119">
        <v>1</v>
      </c>
      <c r="AS147" s="119">
        <v>1</v>
      </c>
      <c r="AT147" s="131">
        <v>1</v>
      </c>
      <c r="AU147" s="134">
        <v>1</v>
      </c>
      <c r="AV147" s="126">
        <v>4</v>
      </c>
      <c r="BB147" s="104">
        <v>0.587337</v>
      </c>
      <c r="BC147" s="83">
        <v>549.31640000000004</v>
      </c>
      <c r="BD147" s="83">
        <v>-84.838899999999995</v>
      </c>
      <c r="BE147" s="83">
        <v>118.8703</v>
      </c>
      <c r="BF147" s="41">
        <v>-48.614501949999998</v>
      </c>
      <c r="BG147" s="41"/>
      <c r="BH147" s="39"/>
    </row>
    <row r="148" spans="1:60">
      <c r="A148" s="2">
        <v>46057</v>
      </c>
      <c r="B148" t="s">
        <v>44</v>
      </c>
      <c r="C148">
        <v>64280</v>
      </c>
      <c r="D148">
        <v>1667</v>
      </c>
      <c r="E148" t="s">
        <v>82</v>
      </c>
      <c r="F148" t="s">
        <v>46</v>
      </c>
      <c r="G148" t="s">
        <v>47</v>
      </c>
      <c r="H148" t="s">
        <v>48</v>
      </c>
      <c r="I148" t="s">
        <v>246</v>
      </c>
      <c r="J148" t="s">
        <v>50</v>
      </c>
      <c r="O148" s="78">
        <v>6</v>
      </c>
      <c r="T148" s="104">
        <v>3</v>
      </c>
      <c r="U148" s="72">
        <v>-75.811889649999998</v>
      </c>
      <c r="V148" s="72">
        <v>378.82485960000002</v>
      </c>
      <c r="W148" s="72">
        <f t="shared" ref="W148:W156" si="8">V148-U148</f>
        <v>454.63674925000004</v>
      </c>
      <c r="X148" s="105">
        <v>1</v>
      </c>
      <c r="AE148" s="118">
        <v>0</v>
      </c>
      <c r="AF148" s="119">
        <v>0</v>
      </c>
      <c r="AG148" s="119">
        <v>0</v>
      </c>
      <c r="AH148" s="119">
        <v>2</v>
      </c>
      <c r="AI148" s="119">
        <v>6</v>
      </c>
      <c r="AJ148" s="119">
        <v>4</v>
      </c>
      <c r="AK148" s="119">
        <v>6</v>
      </c>
      <c r="AL148" s="119">
        <v>6</v>
      </c>
      <c r="AM148" s="119">
        <v>5</v>
      </c>
      <c r="AN148" s="119">
        <v>5</v>
      </c>
      <c r="AO148" s="119">
        <v>5</v>
      </c>
      <c r="AP148" s="119">
        <v>2</v>
      </c>
      <c r="AQ148" s="119">
        <v>1</v>
      </c>
      <c r="AR148" s="119">
        <v>1</v>
      </c>
      <c r="AS148" s="119">
        <v>1</v>
      </c>
      <c r="AT148" s="131">
        <v>1</v>
      </c>
      <c r="AU148" s="134">
        <v>2</v>
      </c>
      <c r="AV148" s="126">
        <v>6</v>
      </c>
      <c r="BB148" s="104">
        <v>0.56277200000000005</v>
      </c>
      <c r="BC148" s="83">
        <v>429.6875</v>
      </c>
      <c r="BD148" s="83">
        <v>-81.787099999999995</v>
      </c>
      <c r="BE148" s="83">
        <v>123.3625</v>
      </c>
      <c r="BF148" s="41">
        <v>-47.302246089999997</v>
      </c>
      <c r="BG148" s="41"/>
      <c r="BH148" s="39"/>
    </row>
    <row r="149" spans="1:60">
      <c r="A149" s="2">
        <v>46057</v>
      </c>
      <c r="B149" t="s">
        <v>90</v>
      </c>
      <c r="C149">
        <v>64280</v>
      </c>
      <c r="D149">
        <v>1668</v>
      </c>
      <c r="E149" t="s">
        <v>140</v>
      </c>
      <c r="F149" t="s">
        <v>46</v>
      </c>
      <c r="G149" t="s">
        <v>47</v>
      </c>
      <c r="H149" t="s">
        <v>48</v>
      </c>
      <c r="I149" t="s">
        <v>247</v>
      </c>
      <c r="J149" t="s">
        <v>50</v>
      </c>
      <c r="O149" s="78">
        <v>1</v>
      </c>
      <c r="T149" s="104">
        <v>3</v>
      </c>
      <c r="U149" s="72">
        <v>-152.03489690000001</v>
      </c>
      <c r="V149" s="72">
        <v>620.25805660000003</v>
      </c>
      <c r="W149" s="72">
        <f t="shared" si="8"/>
        <v>772.29295350000007</v>
      </c>
      <c r="X149" s="105">
        <v>1</v>
      </c>
      <c r="AE149" s="118">
        <v>0</v>
      </c>
      <c r="AF149" s="119">
        <v>0</v>
      </c>
      <c r="AG149" s="119">
        <v>0</v>
      </c>
      <c r="AH149" s="119">
        <v>0</v>
      </c>
      <c r="AI149" s="119">
        <v>0</v>
      </c>
      <c r="AJ149" s="119">
        <v>1</v>
      </c>
      <c r="AK149" s="119">
        <v>5</v>
      </c>
      <c r="AL149" s="119">
        <v>7</v>
      </c>
      <c r="AM149" s="119">
        <v>11</v>
      </c>
      <c r="AN149" s="119">
        <v>12</v>
      </c>
      <c r="AO149" s="119">
        <v>14</v>
      </c>
      <c r="AP149" s="119">
        <v>14</v>
      </c>
      <c r="AQ149" s="119">
        <v>15</v>
      </c>
      <c r="AR149" s="119">
        <v>11</v>
      </c>
      <c r="AS149" s="119">
        <v>11</v>
      </c>
      <c r="AT149" s="131">
        <v>9</v>
      </c>
      <c r="AU149" s="134">
        <v>1</v>
      </c>
      <c r="AV149" s="126">
        <v>15</v>
      </c>
      <c r="BB149" s="104">
        <v>0.49186000000000002</v>
      </c>
      <c r="BC149" s="83">
        <v>363.1592</v>
      </c>
      <c r="BD149" s="83">
        <v>-119.629</v>
      </c>
      <c r="BE149" s="83">
        <v>115.855</v>
      </c>
      <c r="BF149" s="41">
        <v>-35.919189449999998</v>
      </c>
      <c r="BG149" s="41"/>
      <c r="BH149" s="39"/>
    </row>
    <row r="150" spans="1:60">
      <c r="A150" s="2">
        <v>46057</v>
      </c>
      <c r="B150" t="s">
        <v>90</v>
      </c>
      <c r="C150">
        <v>64280</v>
      </c>
      <c r="D150">
        <v>1669</v>
      </c>
      <c r="E150" t="s">
        <v>142</v>
      </c>
      <c r="F150" t="s">
        <v>46</v>
      </c>
      <c r="G150" t="s">
        <v>47</v>
      </c>
      <c r="H150" t="s">
        <v>48</v>
      </c>
      <c r="I150" t="s">
        <v>248</v>
      </c>
      <c r="J150" t="s">
        <v>50</v>
      </c>
      <c r="O150" s="78">
        <v>9</v>
      </c>
      <c r="T150" s="104">
        <v>4</v>
      </c>
      <c r="U150" s="72">
        <v>-113.2741394</v>
      </c>
      <c r="V150" s="72">
        <v>376.36782840000001</v>
      </c>
      <c r="W150" s="72">
        <f t="shared" si="8"/>
        <v>489.64196779999997</v>
      </c>
      <c r="X150" s="105">
        <v>1</v>
      </c>
      <c r="AE150" s="118">
        <v>0</v>
      </c>
      <c r="AF150" s="119">
        <v>0</v>
      </c>
      <c r="AG150" s="119">
        <v>0</v>
      </c>
      <c r="AH150" s="119">
        <v>9</v>
      </c>
      <c r="AI150" s="119">
        <v>14</v>
      </c>
      <c r="AJ150" s="119">
        <v>13</v>
      </c>
      <c r="AK150" s="119">
        <v>11</v>
      </c>
      <c r="AL150" s="119">
        <v>10</v>
      </c>
      <c r="AM150" s="119">
        <v>10</v>
      </c>
      <c r="AN150" s="119">
        <v>11</v>
      </c>
      <c r="AO150" s="119">
        <v>7</v>
      </c>
      <c r="AP150" s="119">
        <v>8</v>
      </c>
      <c r="AQ150" s="119">
        <v>2</v>
      </c>
      <c r="AR150" s="119">
        <v>1</v>
      </c>
      <c r="AS150" s="119">
        <v>1</v>
      </c>
      <c r="AT150" s="131">
        <v>1</v>
      </c>
      <c r="AU150" s="134">
        <v>9</v>
      </c>
      <c r="AV150" s="126">
        <v>14</v>
      </c>
      <c r="BB150" s="104">
        <v>0.57099900000000003</v>
      </c>
      <c r="BC150" s="83">
        <v>434.57029999999997</v>
      </c>
      <c r="BD150" s="83">
        <v>-90.942400000000006</v>
      </c>
      <c r="BE150" s="83">
        <v>120.3109</v>
      </c>
      <c r="BF150" s="41">
        <v>-34.759521479999997</v>
      </c>
      <c r="BG150" s="41"/>
      <c r="BH150" s="39"/>
    </row>
    <row r="151" spans="1:60">
      <c r="A151" s="2">
        <v>46057</v>
      </c>
      <c r="B151" t="s">
        <v>90</v>
      </c>
      <c r="C151">
        <v>64281</v>
      </c>
      <c r="D151">
        <v>1670</v>
      </c>
      <c r="E151" t="s">
        <v>194</v>
      </c>
      <c r="F151" t="s">
        <v>46</v>
      </c>
      <c r="G151" t="s">
        <v>47</v>
      </c>
      <c r="H151" t="s">
        <v>54</v>
      </c>
      <c r="J151" t="s">
        <v>50</v>
      </c>
      <c r="O151" s="78">
        <v>2</v>
      </c>
      <c r="T151" s="104">
        <v>6</v>
      </c>
      <c r="U151" s="72">
        <v>-59.439029689999998</v>
      </c>
      <c r="V151" s="72">
        <v>1099.2901609999999</v>
      </c>
      <c r="W151" s="72">
        <f t="shared" si="8"/>
        <v>1158.72919069</v>
      </c>
      <c r="X151" s="105">
        <v>1</v>
      </c>
      <c r="AE151" s="118">
        <v>0</v>
      </c>
      <c r="AF151" s="119">
        <v>0</v>
      </c>
      <c r="AG151" s="119">
        <v>0</v>
      </c>
      <c r="AH151" s="119">
        <v>0</v>
      </c>
      <c r="AI151" s="119">
        <v>0</v>
      </c>
      <c r="AJ151" s="119">
        <v>0</v>
      </c>
      <c r="AK151" s="119">
        <v>0</v>
      </c>
      <c r="AL151" s="119">
        <v>2</v>
      </c>
      <c r="AM151" s="119">
        <v>2</v>
      </c>
      <c r="AN151" s="119">
        <v>5</v>
      </c>
      <c r="AO151" s="119">
        <v>5</v>
      </c>
      <c r="AP151" s="119">
        <v>8</v>
      </c>
      <c r="AQ151" s="119">
        <v>9</v>
      </c>
      <c r="AR151" s="119">
        <v>12</v>
      </c>
      <c r="AS151" s="119">
        <v>9</v>
      </c>
      <c r="AT151" s="131">
        <v>9</v>
      </c>
      <c r="AU151" s="134">
        <v>2</v>
      </c>
      <c r="AV151" s="126">
        <v>12</v>
      </c>
      <c r="BB151" s="104">
        <v>0.53590700000000002</v>
      </c>
      <c r="BC151" s="83">
        <v>369.87299999999999</v>
      </c>
      <c r="BD151" s="83">
        <v>-111.084</v>
      </c>
      <c r="BE151" s="83">
        <v>114.9192</v>
      </c>
      <c r="BF151" s="41">
        <v>-40.618896479999997</v>
      </c>
      <c r="BG151" s="41"/>
      <c r="BH151" s="39"/>
    </row>
    <row r="152" spans="1:60">
      <c r="A152" s="2">
        <v>46057</v>
      </c>
      <c r="B152" t="s">
        <v>44</v>
      </c>
      <c r="C152">
        <v>64281</v>
      </c>
      <c r="D152">
        <v>1671</v>
      </c>
      <c r="E152" t="s">
        <v>184</v>
      </c>
      <c r="F152" t="s">
        <v>46</v>
      </c>
      <c r="G152" t="s">
        <v>47</v>
      </c>
      <c r="H152" t="s">
        <v>54</v>
      </c>
      <c r="I152" t="s">
        <v>249</v>
      </c>
      <c r="J152" t="s">
        <v>50</v>
      </c>
      <c r="O152" s="78">
        <v>24</v>
      </c>
      <c r="T152" s="104">
        <v>7</v>
      </c>
      <c r="U152" s="72">
        <v>-16.351198199999999</v>
      </c>
      <c r="V152" s="72">
        <v>287.00607300000001</v>
      </c>
      <c r="W152" s="72">
        <f t="shared" si="8"/>
        <v>303.35727120000001</v>
      </c>
      <c r="X152" s="105">
        <v>1</v>
      </c>
      <c r="AE152" s="118">
        <v>0</v>
      </c>
      <c r="AF152" s="119">
        <v>7</v>
      </c>
      <c r="AG152" s="119">
        <v>24</v>
      </c>
      <c r="AH152" s="119">
        <v>33</v>
      </c>
      <c r="AI152" s="119">
        <v>39</v>
      </c>
      <c r="AJ152" s="119">
        <v>42</v>
      </c>
      <c r="AK152" s="119">
        <v>44</v>
      </c>
      <c r="AL152" s="119">
        <v>47</v>
      </c>
      <c r="AM152" s="119">
        <v>46</v>
      </c>
      <c r="AN152" s="119">
        <v>49</v>
      </c>
      <c r="AO152" s="119">
        <v>47</v>
      </c>
      <c r="AP152" s="119">
        <v>30</v>
      </c>
      <c r="AQ152" s="119">
        <v>7</v>
      </c>
      <c r="AR152" s="119">
        <v>2</v>
      </c>
      <c r="AS152" s="119">
        <v>1</v>
      </c>
      <c r="AT152" s="131">
        <v>1</v>
      </c>
      <c r="AU152" s="134">
        <v>7</v>
      </c>
      <c r="AV152" s="126">
        <v>49</v>
      </c>
      <c r="BB152" s="104">
        <v>0.43530200000000002</v>
      </c>
      <c r="BC152" s="83">
        <v>785.52250000000004</v>
      </c>
      <c r="BD152" s="83">
        <v>-131.83600000000001</v>
      </c>
      <c r="BE152" s="83">
        <v>128.06030000000001</v>
      </c>
      <c r="BF152" s="41">
        <v>-45.013427729999997</v>
      </c>
      <c r="BG152" s="41"/>
      <c r="BH152" s="39"/>
    </row>
    <row r="153" spans="1:60">
      <c r="A153" s="2">
        <v>46057</v>
      </c>
      <c r="B153" t="s">
        <v>44</v>
      </c>
      <c r="C153">
        <v>64281</v>
      </c>
      <c r="D153">
        <v>1672</v>
      </c>
      <c r="E153" t="s">
        <v>250</v>
      </c>
      <c r="F153" t="s">
        <v>46</v>
      </c>
      <c r="G153" t="s">
        <v>47</v>
      </c>
      <c r="H153" t="s">
        <v>54</v>
      </c>
      <c r="J153" t="s">
        <v>50</v>
      </c>
      <c r="O153" s="78">
        <v>2</v>
      </c>
      <c r="T153" s="104">
        <v>7</v>
      </c>
      <c r="U153" s="72">
        <v>-100.2250366</v>
      </c>
      <c r="V153" s="72">
        <v>859.95404050000002</v>
      </c>
      <c r="W153" s="72">
        <f t="shared" si="8"/>
        <v>960.17907709999997</v>
      </c>
      <c r="X153" s="105">
        <v>1</v>
      </c>
      <c r="AE153" s="118">
        <v>0</v>
      </c>
      <c r="AF153" s="119">
        <v>0</v>
      </c>
      <c r="AG153" s="119">
        <v>0</v>
      </c>
      <c r="AH153" s="119">
        <v>0</v>
      </c>
      <c r="AI153" s="119">
        <v>0</v>
      </c>
      <c r="AJ153" s="119">
        <v>0</v>
      </c>
      <c r="AK153" s="119">
        <v>2</v>
      </c>
      <c r="AL153" s="119">
        <v>5</v>
      </c>
      <c r="AM153" s="119">
        <v>9</v>
      </c>
      <c r="AN153" s="119">
        <v>12</v>
      </c>
      <c r="AO153" s="119">
        <v>13</v>
      </c>
      <c r="AP153" s="119">
        <v>19</v>
      </c>
      <c r="AQ153" s="119">
        <v>23</v>
      </c>
      <c r="AR153" s="119">
        <v>26</v>
      </c>
      <c r="AS153" s="119">
        <v>28</v>
      </c>
      <c r="AT153" s="131">
        <v>29</v>
      </c>
      <c r="AU153" s="134">
        <v>2</v>
      </c>
      <c r="AV153" s="126">
        <v>29</v>
      </c>
      <c r="BB153" s="104">
        <v>0.44367800000000002</v>
      </c>
      <c r="BC153" s="83">
        <v>477.29489999999998</v>
      </c>
      <c r="BD153" s="83">
        <v>-120.85</v>
      </c>
      <c r="BE153" s="83">
        <v>118.3082</v>
      </c>
      <c r="BF153" s="41">
        <v>-47.424316410000003</v>
      </c>
      <c r="BG153" s="41"/>
      <c r="BH153" s="39"/>
    </row>
    <row r="154" spans="1:60">
      <c r="A154" s="2">
        <v>46057</v>
      </c>
      <c r="B154" t="s">
        <v>90</v>
      </c>
      <c r="C154">
        <v>64281</v>
      </c>
      <c r="D154">
        <v>1673</v>
      </c>
      <c r="E154" t="s">
        <v>251</v>
      </c>
      <c r="F154" t="s">
        <v>46</v>
      </c>
      <c r="G154" t="s">
        <v>47</v>
      </c>
      <c r="H154" t="s">
        <v>54</v>
      </c>
      <c r="I154" t="s">
        <v>252</v>
      </c>
      <c r="J154" t="s">
        <v>50</v>
      </c>
      <c r="O154" s="78">
        <v>8</v>
      </c>
      <c r="T154" s="104">
        <v>2</v>
      </c>
      <c r="U154" s="72">
        <v>-49.653419489999997</v>
      </c>
      <c r="V154" s="72">
        <v>491.27041630000002</v>
      </c>
      <c r="W154" s="72">
        <f t="shared" si="8"/>
        <v>540.92383579</v>
      </c>
      <c r="X154" s="105">
        <v>1</v>
      </c>
      <c r="AE154" s="118">
        <v>0</v>
      </c>
      <c r="AF154" s="119">
        <v>0</v>
      </c>
      <c r="AG154" s="119">
        <v>0</v>
      </c>
      <c r="AH154" s="119">
        <v>8</v>
      </c>
      <c r="AI154" s="119">
        <v>15</v>
      </c>
      <c r="AJ154" s="119">
        <v>18</v>
      </c>
      <c r="AK154" s="119">
        <v>18</v>
      </c>
      <c r="AL154" s="119">
        <v>18</v>
      </c>
      <c r="AM154" s="119">
        <v>19</v>
      </c>
      <c r="AN154" s="119">
        <v>16</v>
      </c>
      <c r="AO154" s="119">
        <v>17</v>
      </c>
      <c r="AP154" s="119">
        <v>16</v>
      </c>
      <c r="AQ154" s="119">
        <v>14</v>
      </c>
      <c r="AR154" s="119">
        <v>13</v>
      </c>
      <c r="AS154" s="119">
        <v>2</v>
      </c>
      <c r="AT154" s="131">
        <v>1</v>
      </c>
      <c r="AU154" s="134">
        <v>8</v>
      </c>
      <c r="AV154" s="126">
        <v>19</v>
      </c>
      <c r="BB154" s="104">
        <v>0.45951900000000001</v>
      </c>
      <c r="BC154" s="83">
        <v>491.9434</v>
      </c>
      <c r="BD154" s="83">
        <v>-106.812</v>
      </c>
      <c r="BE154" s="83">
        <v>122.3544</v>
      </c>
      <c r="BF154" s="41">
        <v>-40.802001949999998</v>
      </c>
      <c r="BG154" s="41"/>
      <c r="BH154" s="39"/>
    </row>
    <row r="155" spans="1:60">
      <c r="A155" s="2">
        <v>46057</v>
      </c>
      <c r="B155" t="s">
        <v>44</v>
      </c>
      <c r="C155">
        <v>64281</v>
      </c>
      <c r="D155">
        <v>1674</v>
      </c>
      <c r="E155" t="s">
        <v>253</v>
      </c>
      <c r="F155" t="s">
        <v>46</v>
      </c>
      <c r="G155" t="s">
        <v>47</v>
      </c>
      <c r="H155" t="s">
        <v>54</v>
      </c>
      <c r="I155" t="s">
        <v>254</v>
      </c>
      <c r="J155" t="s">
        <v>50</v>
      </c>
      <c r="O155" s="78">
        <v>0</v>
      </c>
      <c r="T155" s="104">
        <v>4</v>
      </c>
      <c r="U155" s="72">
        <v>-125.3849106</v>
      </c>
      <c r="V155" s="72">
        <v>557.51702880000005</v>
      </c>
      <c r="W155" s="72">
        <f t="shared" si="8"/>
        <v>682.90193940000006</v>
      </c>
      <c r="X155" s="105">
        <v>1</v>
      </c>
      <c r="AE155" s="118">
        <v>0</v>
      </c>
      <c r="AF155" s="119">
        <v>0</v>
      </c>
      <c r="AG155" s="119">
        <v>0</v>
      </c>
      <c r="AH155" s="119">
        <v>0</v>
      </c>
      <c r="AI155" s="119">
        <v>0</v>
      </c>
      <c r="AJ155" s="119">
        <v>0</v>
      </c>
      <c r="AK155" s="119">
        <v>6</v>
      </c>
      <c r="AL155" s="119">
        <v>15</v>
      </c>
      <c r="AM155" s="119">
        <v>17</v>
      </c>
      <c r="AN155" s="119">
        <v>19</v>
      </c>
      <c r="AO155" s="119">
        <v>18</v>
      </c>
      <c r="AP155" s="119">
        <v>19</v>
      </c>
      <c r="AQ155" s="119">
        <v>19</v>
      </c>
      <c r="AR155" s="119">
        <v>17</v>
      </c>
      <c r="AS155" s="119">
        <v>16</v>
      </c>
      <c r="AT155" s="131">
        <v>13</v>
      </c>
      <c r="AU155" s="134">
        <v>6</v>
      </c>
      <c r="AV155" s="126">
        <v>19</v>
      </c>
      <c r="BB155" s="104">
        <v>0.46285100000000001</v>
      </c>
      <c r="BC155" s="83">
        <v>606.07910000000004</v>
      </c>
      <c r="BD155" s="83">
        <v>-126.953</v>
      </c>
      <c r="BE155" s="83">
        <v>131.5609</v>
      </c>
      <c r="BF155" s="41">
        <v>-37.475585940000002</v>
      </c>
      <c r="BG155" s="41"/>
      <c r="BH155" s="39"/>
    </row>
    <row r="156" spans="1:60">
      <c r="A156" s="2">
        <v>46057</v>
      </c>
      <c r="B156" t="s">
        <v>90</v>
      </c>
      <c r="C156">
        <v>64281</v>
      </c>
      <c r="D156">
        <v>1675</v>
      </c>
      <c r="E156" t="s">
        <v>255</v>
      </c>
      <c r="F156" t="s">
        <v>46</v>
      </c>
      <c r="G156" t="s">
        <v>47</v>
      </c>
      <c r="H156" t="s">
        <v>54</v>
      </c>
      <c r="I156" t="s">
        <v>256</v>
      </c>
      <c r="J156" t="s">
        <v>50</v>
      </c>
      <c r="O156" s="78">
        <v>4</v>
      </c>
      <c r="T156" s="111">
        <v>4</v>
      </c>
      <c r="U156" s="30">
        <v>-54.598167420000003</v>
      </c>
      <c r="V156" s="30">
        <v>846.69848630000001</v>
      </c>
      <c r="W156" s="30">
        <f t="shared" si="8"/>
        <v>901.29665371999999</v>
      </c>
      <c r="X156" s="112">
        <v>1</v>
      </c>
      <c r="AE156" s="120">
        <v>0</v>
      </c>
      <c r="AF156" s="121">
        <v>0</v>
      </c>
      <c r="AG156" s="121">
        <v>0</v>
      </c>
      <c r="AH156" s="121">
        <v>0</v>
      </c>
      <c r="AI156" s="121">
        <v>4</v>
      </c>
      <c r="AJ156" s="121">
        <v>18</v>
      </c>
      <c r="AK156" s="121">
        <v>26</v>
      </c>
      <c r="AL156" s="121">
        <v>31</v>
      </c>
      <c r="AM156" s="121">
        <v>33</v>
      </c>
      <c r="AN156" s="121">
        <v>35</v>
      </c>
      <c r="AO156" s="121">
        <v>36</v>
      </c>
      <c r="AP156" s="121">
        <v>34</v>
      </c>
      <c r="AQ156" s="121">
        <v>28</v>
      </c>
      <c r="AR156" s="121">
        <v>18</v>
      </c>
      <c r="AS156" s="121">
        <v>13</v>
      </c>
      <c r="AT156" s="132">
        <v>12</v>
      </c>
      <c r="AU156" s="138">
        <v>4</v>
      </c>
      <c r="AV156" s="128">
        <v>36</v>
      </c>
      <c r="BB156" s="111">
        <v>0.52448399999999995</v>
      </c>
      <c r="BC156" s="145">
        <v>408.93549999999999</v>
      </c>
      <c r="BD156" s="145">
        <v>-123.291</v>
      </c>
      <c r="BE156" s="145">
        <v>119.00409999999999</v>
      </c>
      <c r="BF156" s="43">
        <v>-20.75195313</v>
      </c>
      <c r="BG156" s="43"/>
      <c r="BH156" s="40"/>
    </row>
  </sheetData>
  <conditionalFormatting sqref="G2:G156">
    <cfRule type="containsText" dxfId="600" priority="442" operator="containsText" text="CFM">
      <formula>NOT(ISERROR(SEARCH("CFM",G2)))</formula>
    </cfRule>
  </conditionalFormatting>
  <conditionalFormatting sqref="H2:H156">
    <cfRule type="containsText" dxfId="599" priority="441" operator="containsText" text="Biocytin+">
      <formula>NOT(ISERROR(SEARCH("Biocytin+",H2)))</formula>
    </cfRule>
  </conditionalFormatting>
  <conditionalFormatting sqref="J127">
    <cfRule type="containsText" dxfId="598" priority="440" operator="containsText" text="CFM">
      <formula>NOT(ISERROR(SEARCH("CFM",J127)))</formula>
    </cfRule>
  </conditionalFormatting>
  <conditionalFormatting sqref="X1:X116">
    <cfRule type="cellIs" dxfId="597" priority="439" operator="greaterThan">
      <formula>1</formula>
    </cfRule>
  </conditionalFormatting>
  <conditionalFormatting sqref="AE2:AT2">
    <cfRule type="top10" dxfId="596" priority="429" stopIfTrue="1" rank="1"/>
  </conditionalFormatting>
  <conditionalFormatting sqref="AE2:AT4">
    <cfRule type="cellIs" dxfId="595" priority="438" stopIfTrue="1" operator="greaterThan">
      <formula>0</formula>
    </cfRule>
  </conditionalFormatting>
  <conditionalFormatting sqref="AE3:AT3">
    <cfRule type="top10" dxfId="594" priority="428" stopIfTrue="1" rank="1"/>
  </conditionalFormatting>
  <conditionalFormatting sqref="AE4:AT4">
    <cfRule type="top10" dxfId="593" priority="427" rank="1"/>
  </conditionalFormatting>
  <conditionalFormatting sqref="AE6:AT6">
    <cfRule type="top10" dxfId="592" priority="426" stopIfTrue="1" rank="1"/>
    <cfRule type="cellIs" dxfId="591" priority="437" operator="greaterThan">
      <formula>0</formula>
    </cfRule>
  </conditionalFormatting>
  <conditionalFormatting sqref="AE7:AT7">
    <cfRule type="top10" dxfId="590" priority="425" rank="1"/>
  </conditionalFormatting>
  <conditionalFormatting sqref="AE7:AT8">
    <cfRule type="cellIs" dxfId="589" priority="436" stopIfTrue="1" operator="greaterThan">
      <formula>0</formula>
    </cfRule>
  </conditionalFormatting>
  <conditionalFormatting sqref="AE8:AT8">
    <cfRule type="top10" dxfId="588" priority="424" rank="1"/>
  </conditionalFormatting>
  <conditionalFormatting sqref="AE9:AT9">
    <cfRule type="top10" dxfId="587" priority="423" rank="1"/>
    <cfRule type="cellIs" dxfId="586" priority="435" operator="greaterThan">
      <formula>0</formula>
    </cfRule>
  </conditionalFormatting>
  <conditionalFormatting sqref="AE10:AT10">
    <cfRule type="top10" dxfId="585" priority="422" rank="1"/>
    <cfRule type="cellIs" dxfId="584" priority="434" stopIfTrue="1" operator="greaterThan">
      <formula>0</formula>
    </cfRule>
  </conditionalFormatting>
  <conditionalFormatting sqref="AE11:AT11">
    <cfRule type="top10" dxfId="583" priority="421" rank="1"/>
    <cfRule type="cellIs" dxfId="582" priority="433" operator="greaterThan">
      <formula>0</formula>
    </cfRule>
  </conditionalFormatting>
  <conditionalFormatting sqref="AE12:AT12">
    <cfRule type="top10" dxfId="581" priority="420" rank="1"/>
  </conditionalFormatting>
  <conditionalFormatting sqref="AE12:AT22">
    <cfRule type="cellIs" dxfId="580" priority="432" stopIfTrue="1" operator="greaterThan">
      <formula>0</formula>
    </cfRule>
  </conditionalFormatting>
  <conditionalFormatting sqref="AE13:AT13">
    <cfRule type="top10" dxfId="579" priority="419" rank="1"/>
  </conditionalFormatting>
  <conditionalFormatting sqref="AE14:AT14">
    <cfRule type="top10" dxfId="578" priority="418" rank="1"/>
  </conditionalFormatting>
  <conditionalFormatting sqref="AE15:AT15">
    <cfRule type="top10" dxfId="577" priority="417" rank="1"/>
  </conditionalFormatting>
  <conditionalFormatting sqref="AE16:AT16">
    <cfRule type="top10" dxfId="576" priority="416" rank="1"/>
  </conditionalFormatting>
  <conditionalFormatting sqref="AE17:AT17">
    <cfRule type="top10" dxfId="575" priority="415" rank="1"/>
  </conditionalFormatting>
  <conditionalFormatting sqref="AE18:AT18">
    <cfRule type="top10" dxfId="574" priority="414" rank="1"/>
  </conditionalFormatting>
  <conditionalFormatting sqref="AE19:AT19">
    <cfRule type="top10" dxfId="573" priority="413" rank="1"/>
  </conditionalFormatting>
  <conditionalFormatting sqref="AE20:AT20">
    <cfRule type="top10" dxfId="572" priority="412" rank="1"/>
  </conditionalFormatting>
  <conditionalFormatting sqref="AE21:AT21">
    <cfRule type="top10" dxfId="571" priority="411" rank="1"/>
  </conditionalFormatting>
  <conditionalFormatting sqref="AE22:AT22">
    <cfRule type="top10" dxfId="570" priority="410" rank="1"/>
  </conditionalFormatting>
  <conditionalFormatting sqref="AE24:AT24">
    <cfRule type="top10" dxfId="569" priority="409" rank="1"/>
  </conditionalFormatting>
  <conditionalFormatting sqref="AE24:AT26">
    <cfRule type="cellIs" dxfId="568" priority="431" stopIfTrue="1" operator="greaterThan">
      <formula>0</formula>
    </cfRule>
  </conditionalFormatting>
  <conditionalFormatting sqref="AE25:AT25">
    <cfRule type="top10" dxfId="567" priority="408" rank="1"/>
  </conditionalFormatting>
  <conditionalFormatting sqref="AE26:AT26">
    <cfRule type="top10" dxfId="566" priority="407" rank="1"/>
  </conditionalFormatting>
  <conditionalFormatting sqref="AE28:AT28">
    <cfRule type="top10" dxfId="565" priority="406" rank="1"/>
  </conditionalFormatting>
  <conditionalFormatting sqref="AE28:AT58">
    <cfRule type="cellIs" dxfId="564" priority="430" stopIfTrue="1" operator="greaterThan">
      <formula>0</formula>
    </cfRule>
  </conditionalFormatting>
  <conditionalFormatting sqref="AE29:AT29">
    <cfRule type="top10" dxfId="563" priority="405" rank="1"/>
  </conditionalFormatting>
  <conditionalFormatting sqref="AE30:AT30">
    <cfRule type="top10" dxfId="562" priority="404" rank="1"/>
  </conditionalFormatting>
  <conditionalFormatting sqref="AE31:AT31">
    <cfRule type="top10" dxfId="561" priority="403" rank="1"/>
  </conditionalFormatting>
  <conditionalFormatting sqref="AE32:AT32">
    <cfRule type="top10" dxfId="560" priority="402" rank="1"/>
  </conditionalFormatting>
  <conditionalFormatting sqref="AE33:AT33">
    <cfRule type="top10" dxfId="559" priority="401" rank="1"/>
  </conditionalFormatting>
  <conditionalFormatting sqref="AE34:AT34">
    <cfRule type="top10" dxfId="558" priority="400" rank="1"/>
  </conditionalFormatting>
  <conditionalFormatting sqref="AE35:AT35">
    <cfRule type="top10" dxfId="557" priority="399" rank="1"/>
  </conditionalFormatting>
  <conditionalFormatting sqref="AE36:AT36">
    <cfRule type="top10" dxfId="556" priority="398" rank="1"/>
  </conditionalFormatting>
  <conditionalFormatting sqref="AE37:AT37">
    <cfRule type="top10" dxfId="555" priority="397" rank="1"/>
  </conditionalFormatting>
  <conditionalFormatting sqref="AE38:AT38">
    <cfRule type="top10" dxfId="554" priority="396" rank="1"/>
  </conditionalFormatting>
  <conditionalFormatting sqref="AE39:AT39">
    <cfRule type="top10" dxfId="553" priority="395" rank="1"/>
  </conditionalFormatting>
  <conditionalFormatting sqref="AE40:AT40">
    <cfRule type="top10" dxfId="552" priority="394" rank="1"/>
  </conditionalFormatting>
  <conditionalFormatting sqref="AE41:AT41">
    <cfRule type="top10" dxfId="551" priority="393" rank="1"/>
  </conditionalFormatting>
  <conditionalFormatting sqref="AE42:AT42">
    <cfRule type="top10" dxfId="550" priority="392" rank="1"/>
  </conditionalFormatting>
  <conditionalFormatting sqref="AE43:AT43">
    <cfRule type="top10" dxfId="549" priority="391" rank="1"/>
  </conditionalFormatting>
  <conditionalFormatting sqref="AE44:AT44">
    <cfRule type="top10" dxfId="548" priority="390" rank="1"/>
  </conditionalFormatting>
  <conditionalFormatting sqref="AE45:AT45">
    <cfRule type="top10" dxfId="547" priority="389" rank="1"/>
  </conditionalFormatting>
  <conditionalFormatting sqref="AE46:AT46">
    <cfRule type="top10" dxfId="546" priority="388" rank="1"/>
  </conditionalFormatting>
  <conditionalFormatting sqref="AE47:AT47">
    <cfRule type="top10" dxfId="545" priority="387" rank="1"/>
  </conditionalFormatting>
  <conditionalFormatting sqref="AE48:AT48">
    <cfRule type="top10" dxfId="544" priority="386" rank="1"/>
  </conditionalFormatting>
  <conditionalFormatting sqref="AE49:AT49">
    <cfRule type="top10" dxfId="543" priority="385" rank="1"/>
  </conditionalFormatting>
  <conditionalFormatting sqref="AE50:AT50">
    <cfRule type="top10" dxfId="542" priority="384" rank="1"/>
  </conditionalFormatting>
  <conditionalFormatting sqref="AE51:AT51">
    <cfRule type="top10" dxfId="541" priority="383" rank="1"/>
  </conditionalFormatting>
  <conditionalFormatting sqref="AE52:AT52">
    <cfRule type="top10" dxfId="540" priority="382" rank="1"/>
  </conditionalFormatting>
  <conditionalFormatting sqref="AE53:AT53">
    <cfRule type="top10" dxfId="539" priority="381" rank="1"/>
  </conditionalFormatting>
  <conditionalFormatting sqref="AE54:AT54">
    <cfRule type="top10" dxfId="538" priority="380" rank="1"/>
  </conditionalFormatting>
  <conditionalFormatting sqref="AE55:AT55">
    <cfRule type="top10" dxfId="537" priority="379" rank="1"/>
  </conditionalFormatting>
  <conditionalFormatting sqref="AE56:AT56">
    <cfRule type="top10" dxfId="536" priority="378" rank="1"/>
  </conditionalFormatting>
  <conditionalFormatting sqref="AE57:AT57">
    <cfRule type="top10" dxfId="535" priority="377" rank="1"/>
  </conditionalFormatting>
  <conditionalFormatting sqref="AE58:AT58">
    <cfRule type="top10" dxfId="534" priority="376" rank="1"/>
  </conditionalFormatting>
  <conditionalFormatting sqref="AE59:AT62 AE64:AT64 AE66:AT85 AE87:AT88 AE90:AT90 AE92:AT93 AE95:AT97 AE99:AT145 AE147:AT156">
    <cfRule type="cellIs" dxfId="533" priority="375" operator="greaterThan">
      <formula>0</formula>
    </cfRule>
  </conditionalFormatting>
  <conditionalFormatting sqref="AE59:AT59">
    <cfRule type="top10" dxfId="532" priority="374" rank="1"/>
  </conditionalFormatting>
  <conditionalFormatting sqref="AE60:AT60">
    <cfRule type="top10" dxfId="531" priority="373" rank="1"/>
  </conditionalFormatting>
  <conditionalFormatting sqref="AE61:AT61">
    <cfRule type="top10" dxfId="530" priority="372" rank="1"/>
  </conditionalFormatting>
  <conditionalFormatting sqref="AE62:AT62">
    <cfRule type="top10" dxfId="529" priority="371" rank="1"/>
  </conditionalFormatting>
  <conditionalFormatting sqref="AE64:AT64">
    <cfRule type="top10" dxfId="528" priority="370" rank="1"/>
  </conditionalFormatting>
  <conditionalFormatting sqref="AE66:AT66">
    <cfRule type="top10" dxfId="527" priority="369" rank="1"/>
  </conditionalFormatting>
  <conditionalFormatting sqref="AE67:AT67">
    <cfRule type="top10" dxfId="526" priority="368" rank="1"/>
  </conditionalFormatting>
  <conditionalFormatting sqref="AE69:AT69">
    <cfRule type="top10" dxfId="525" priority="367" rank="1"/>
  </conditionalFormatting>
  <conditionalFormatting sqref="AE70:AT70">
    <cfRule type="top10" dxfId="524" priority="366" rank="1"/>
  </conditionalFormatting>
  <conditionalFormatting sqref="AE71:AT71">
    <cfRule type="top10" dxfId="523" priority="365" rank="1"/>
  </conditionalFormatting>
  <conditionalFormatting sqref="AE72:AT72">
    <cfRule type="top10" dxfId="522" priority="364" rank="1"/>
  </conditionalFormatting>
  <conditionalFormatting sqref="AE73:AT73">
    <cfRule type="top10" dxfId="521" priority="363" rank="1"/>
  </conditionalFormatting>
  <conditionalFormatting sqref="AE74:AT74">
    <cfRule type="top10" dxfId="520" priority="362" rank="1"/>
  </conditionalFormatting>
  <conditionalFormatting sqref="AE75:AT75">
    <cfRule type="top10" dxfId="519" priority="361" rank="1"/>
  </conditionalFormatting>
  <conditionalFormatting sqref="AE76:AT76">
    <cfRule type="top10" dxfId="518" priority="360" rank="1"/>
  </conditionalFormatting>
  <conditionalFormatting sqref="AE77:AT77">
    <cfRule type="top10" dxfId="517" priority="359" rank="1"/>
  </conditionalFormatting>
  <conditionalFormatting sqref="AE78:AT78">
    <cfRule type="top10" dxfId="516" priority="358" rank="1"/>
  </conditionalFormatting>
  <conditionalFormatting sqref="AE79:AT79">
    <cfRule type="top10" dxfId="515" priority="357" rank="1"/>
  </conditionalFormatting>
  <conditionalFormatting sqref="AE80:AT80">
    <cfRule type="top10" dxfId="514" priority="356" rank="1"/>
  </conditionalFormatting>
  <conditionalFormatting sqref="AE81:AT81">
    <cfRule type="top10" dxfId="513" priority="355" rank="1"/>
  </conditionalFormatting>
  <conditionalFormatting sqref="AE82:AT82">
    <cfRule type="top10" dxfId="512" priority="354" rank="1"/>
  </conditionalFormatting>
  <conditionalFormatting sqref="AE83:AT83">
    <cfRule type="top10" dxfId="511" priority="353" rank="1"/>
  </conditionalFormatting>
  <conditionalFormatting sqref="AE84:AT84">
    <cfRule type="top10" dxfId="510" priority="352" rank="1"/>
  </conditionalFormatting>
  <conditionalFormatting sqref="AE85:AT85">
    <cfRule type="top10" dxfId="509" priority="351" rank="1"/>
  </conditionalFormatting>
  <conditionalFormatting sqref="AE87:AT87">
    <cfRule type="top10" dxfId="508" priority="350" rank="1"/>
  </conditionalFormatting>
  <conditionalFormatting sqref="AE88:AT88">
    <cfRule type="top10" dxfId="507" priority="349" rank="1"/>
  </conditionalFormatting>
  <conditionalFormatting sqref="AE90:AT90">
    <cfRule type="top10" dxfId="506" priority="348" rank="1"/>
  </conditionalFormatting>
  <conditionalFormatting sqref="AE92:AT92">
    <cfRule type="top10" dxfId="505" priority="347" rank="1"/>
  </conditionalFormatting>
  <conditionalFormatting sqref="AE93:AT93">
    <cfRule type="top10" dxfId="504" priority="346" rank="1"/>
  </conditionalFormatting>
  <conditionalFormatting sqref="AE95:AT95">
    <cfRule type="top10" dxfId="503" priority="345" rank="1"/>
  </conditionalFormatting>
  <conditionalFormatting sqref="AE96:AT96">
    <cfRule type="top10" dxfId="502" priority="344" rank="1"/>
  </conditionalFormatting>
  <conditionalFormatting sqref="AE97:AT97">
    <cfRule type="top10" dxfId="501" priority="343" rank="1"/>
  </conditionalFormatting>
  <conditionalFormatting sqref="AE99:AT99">
    <cfRule type="top10" dxfId="500" priority="342" rank="1"/>
  </conditionalFormatting>
  <conditionalFormatting sqref="AE100:AT100">
    <cfRule type="top10" dxfId="499" priority="341" rank="1"/>
  </conditionalFormatting>
  <conditionalFormatting sqref="AE101:AT101">
    <cfRule type="top10" dxfId="498" priority="340" rank="1"/>
  </conditionalFormatting>
  <conditionalFormatting sqref="AE102:AT102">
    <cfRule type="top10" dxfId="497" priority="339" rank="1"/>
  </conditionalFormatting>
  <conditionalFormatting sqref="AE103:AT103">
    <cfRule type="top10" dxfId="496" priority="338" rank="1"/>
  </conditionalFormatting>
  <conditionalFormatting sqref="AE104:AT104">
    <cfRule type="top10" dxfId="495" priority="337" rank="1"/>
  </conditionalFormatting>
  <conditionalFormatting sqref="AE105:AT105">
    <cfRule type="top10" dxfId="494" priority="336" rank="1"/>
  </conditionalFormatting>
  <conditionalFormatting sqref="AE106:AT106">
    <cfRule type="top10" dxfId="493" priority="335" rank="1"/>
  </conditionalFormatting>
  <conditionalFormatting sqref="AE107:AT107">
    <cfRule type="top10" dxfId="492" priority="334" rank="1"/>
  </conditionalFormatting>
  <conditionalFormatting sqref="AE108:AT108">
    <cfRule type="top10" dxfId="491" priority="333" rank="1"/>
  </conditionalFormatting>
  <conditionalFormatting sqref="AE109:AT109">
    <cfRule type="top10" dxfId="490" priority="332" rank="1"/>
  </conditionalFormatting>
  <conditionalFormatting sqref="AE110:AT110">
    <cfRule type="top10" dxfId="489" priority="331" rank="1"/>
  </conditionalFormatting>
  <conditionalFormatting sqref="AE111:AT111">
    <cfRule type="top10" dxfId="488" priority="330" rank="1"/>
  </conditionalFormatting>
  <conditionalFormatting sqref="AE112:AT112">
    <cfRule type="top10" dxfId="487" priority="329" rank="1"/>
  </conditionalFormatting>
  <conditionalFormatting sqref="AE113:AT113">
    <cfRule type="top10" dxfId="486" priority="328" rank="1"/>
  </conditionalFormatting>
  <conditionalFormatting sqref="AE114:AT114">
    <cfRule type="top10" dxfId="485" priority="327" rank="1"/>
  </conditionalFormatting>
  <conditionalFormatting sqref="AE115:AT115">
    <cfRule type="top10" dxfId="484" priority="326" rank="1"/>
  </conditionalFormatting>
  <conditionalFormatting sqref="AE116:AT116">
    <cfRule type="top10" dxfId="483" priority="325" rank="1"/>
  </conditionalFormatting>
  <conditionalFormatting sqref="AE117:AT117">
    <cfRule type="top10" dxfId="482" priority="324" rank="1"/>
  </conditionalFormatting>
  <conditionalFormatting sqref="AE118:AT118">
    <cfRule type="top10" dxfId="481" priority="323" rank="1"/>
  </conditionalFormatting>
  <conditionalFormatting sqref="AE119:AT119">
    <cfRule type="top10" dxfId="480" priority="322" rank="1"/>
  </conditionalFormatting>
  <conditionalFormatting sqref="AE120:AT120">
    <cfRule type="top10" dxfId="479" priority="321" rank="1"/>
  </conditionalFormatting>
  <conditionalFormatting sqref="AE121:AT121">
    <cfRule type="top10" dxfId="478" priority="320" rank="1"/>
  </conditionalFormatting>
  <conditionalFormatting sqref="AE122:AT122">
    <cfRule type="top10" dxfId="477" priority="319" rank="1"/>
  </conditionalFormatting>
  <conditionalFormatting sqref="AE123:AT123">
    <cfRule type="top10" dxfId="476" priority="318" rank="1"/>
  </conditionalFormatting>
  <conditionalFormatting sqref="AE124:AT124">
    <cfRule type="top10" dxfId="475" priority="317" rank="1"/>
  </conditionalFormatting>
  <conditionalFormatting sqref="AE125:AT125">
    <cfRule type="top10" dxfId="474" priority="316" rank="1"/>
  </conditionalFormatting>
  <conditionalFormatting sqref="AE126:AT126">
    <cfRule type="top10" dxfId="473" priority="315" rank="1"/>
  </conditionalFormatting>
  <conditionalFormatting sqref="AE127:AT127">
    <cfRule type="top10" dxfId="472" priority="314" rank="1"/>
  </conditionalFormatting>
  <conditionalFormatting sqref="AE128:AT128">
    <cfRule type="top10" dxfId="471" priority="313" rank="1"/>
  </conditionalFormatting>
  <conditionalFormatting sqref="AE129:AT129">
    <cfRule type="top10" dxfId="470" priority="312" rank="1"/>
  </conditionalFormatting>
  <conditionalFormatting sqref="AE130:AT130">
    <cfRule type="top10" dxfId="469" priority="311" rank="1"/>
  </conditionalFormatting>
  <conditionalFormatting sqref="AE131:AT131">
    <cfRule type="top10" dxfId="468" priority="310" rank="1"/>
  </conditionalFormatting>
  <conditionalFormatting sqref="AE132:AT132">
    <cfRule type="top10" dxfId="467" priority="309" rank="1"/>
  </conditionalFormatting>
  <conditionalFormatting sqref="AE133:AT133">
    <cfRule type="top10" dxfId="466" priority="308" rank="1"/>
  </conditionalFormatting>
  <conditionalFormatting sqref="AE134:AT134">
    <cfRule type="top10" dxfId="465" priority="307" rank="1"/>
  </conditionalFormatting>
  <conditionalFormatting sqref="AE135:AT135">
    <cfRule type="top10" dxfId="464" priority="306" rank="1"/>
  </conditionalFormatting>
  <conditionalFormatting sqref="AE136:AT136">
    <cfRule type="top10" dxfId="463" priority="305" rank="1"/>
  </conditionalFormatting>
  <conditionalFormatting sqref="AE137:AT137">
    <cfRule type="top10" dxfId="462" priority="304" rank="1"/>
  </conditionalFormatting>
  <conditionalFormatting sqref="AE138:AT138">
    <cfRule type="top10" dxfId="461" priority="303" rank="1"/>
  </conditionalFormatting>
  <conditionalFormatting sqref="AE139:AT139">
    <cfRule type="top10" dxfId="460" priority="302" rank="1"/>
  </conditionalFormatting>
  <conditionalFormatting sqref="AE140:AT140">
    <cfRule type="top10" dxfId="459" priority="301" rank="1"/>
  </conditionalFormatting>
  <conditionalFormatting sqref="AE141:AT141">
    <cfRule type="top10" dxfId="458" priority="300" rank="1"/>
  </conditionalFormatting>
  <conditionalFormatting sqref="AE142:AT142">
    <cfRule type="top10" dxfId="457" priority="299" rank="1"/>
  </conditionalFormatting>
  <conditionalFormatting sqref="AE143:AT143">
    <cfRule type="top10" dxfId="456" priority="298" rank="1"/>
  </conditionalFormatting>
  <conditionalFormatting sqref="AE144:AT144">
    <cfRule type="top10" dxfId="455" priority="297" rank="1"/>
  </conditionalFormatting>
  <conditionalFormatting sqref="AE145:AT145">
    <cfRule type="top10" dxfId="454" priority="296" rank="1"/>
  </conditionalFormatting>
  <conditionalFormatting sqref="AE147:AT147">
    <cfRule type="top10" dxfId="453" priority="295" rank="1"/>
  </conditionalFormatting>
  <conditionalFormatting sqref="AE148:AT148">
    <cfRule type="top10" dxfId="452" priority="294" rank="1"/>
  </conditionalFormatting>
  <conditionalFormatting sqref="AE149:AT149">
    <cfRule type="top10" dxfId="451" priority="293" rank="1"/>
  </conditionalFormatting>
  <conditionalFormatting sqref="AE150:AT150">
    <cfRule type="top10" dxfId="450" priority="292" rank="1"/>
  </conditionalFormatting>
  <conditionalFormatting sqref="AE151:AT151">
    <cfRule type="top10" dxfId="449" priority="291" rank="1"/>
  </conditionalFormatting>
  <conditionalFormatting sqref="AE152:AT152">
    <cfRule type="top10" dxfId="448" priority="290" rank="1"/>
  </conditionalFormatting>
  <conditionalFormatting sqref="AE153:AT153">
    <cfRule type="top10" dxfId="447" priority="289" rank="1"/>
  </conditionalFormatting>
  <conditionalFormatting sqref="AE154:AT154">
    <cfRule type="top10" dxfId="446" priority="288" rank="1"/>
  </conditionalFormatting>
  <conditionalFormatting sqref="AE155:AT155">
    <cfRule type="top10" dxfId="445" priority="287" rank="1"/>
  </conditionalFormatting>
  <conditionalFormatting sqref="AE156:AT156">
    <cfRule type="top10" dxfId="444" priority="286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544A-49FA-48D1-A5F7-FDF86FD1D364}">
  <sheetPr>
    <tabColor rgb="FFF584ED"/>
  </sheetPr>
  <dimension ref="A1:P156"/>
  <sheetViews>
    <sheetView workbookViewId="0"/>
  </sheetViews>
  <sheetFormatPr defaultRowHeight="15"/>
  <cols>
    <col min="1" max="1" width="11.42578125" bestFit="1" customWidth="1"/>
    <col min="2" max="2" width="16" bestFit="1" customWidth="1"/>
    <col min="5" max="5" width="21" bestFit="1" customWidth="1"/>
    <col min="11" max="11" width="17.7109375" bestFit="1" customWidth="1"/>
    <col min="13" max="13" width="10.42578125" bestFit="1" customWidth="1"/>
    <col min="14" max="14" width="21" bestFit="1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/>
    </row>
    <row r="2" spans="1:13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G2" t="s">
        <v>257</v>
      </c>
      <c r="H2" t="s">
        <v>48</v>
      </c>
      <c r="I2" t="s">
        <v>49</v>
      </c>
      <c r="K2">
        <v>-55.196163177490199</v>
      </c>
      <c r="L2">
        <v>-50</v>
      </c>
    </row>
    <row r="3" spans="1:13">
      <c r="A3" s="27">
        <v>45979</v>
      </c>
      <c r="B3" s="28" t="s">
        <v>44</v>
      </c>
      <c r="C3" s="28">
        <v>63562</v>
      </c>
      <c r="D3">
        <v>1521</v>
      </c>
      <c r="E3" s="28" t="s">
        <v>51</v>
      </c>
      <c r="F3" s="28" t="s">
        <v>46</v>
      </c>
      <c r="G3" t="s">
        <v>257</v>
      </c>
      <c r="H3" s="28" t="s">
        <v>48</v>
      </c>
      <c r="I3" s="28" t="s">
        <v>52</v>
      </c>
      <c r="J3" s="28"/>
      <c r="K3" s="28">
        <v>-54.4396362304687</v>
      </c>
      <c r="L3" s="28">
        <v>-64</v>
      </c>
    </row>
    <row r="4" spans="1:13">
      <c r="A4" s="27">
        <v>45979</v>
      </c>
      <c r="B4" s="28" t="s">
        <v>44</v>
      </c>
      <c r="C4" s="28">
        <v>63563</v>
      </c>
      <c r="D4">
        <v>1522</v>
      </c>
      <c r="E4" s="28" t="s">
        <v>53</v>
      </c>
      <c r="F4" s="28" t="s">
        <v>46</v>
      </c>
      <c r="G4" t="s">
        <v>257</v>
      </c>
      <c r="H4" s="28" t="s">
        <v>54</v>
      </c>
      <c r="I4" s="28" t="s">
        <v>55</v>
      </c>
      <c r="J4" s="28"/>
      <c r="K4" s="28">
        <v>-60.491744995117102</v>
      </c>
      <c r="L4" s="28">
        <v>-62</v>
      </c>
    </row>
    <row r="5" spans="1:13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G5" t="s">
        <v>57</v>
      </c>
      <c r="H5" t="s">
        <v>54</v>
      </c>
      <c r="I5" t="s">
        <v>58</v>
      </c>
      <c r="K5">
        <v>-65.214653015136705</v>
      </c>
      <c r="L5" s="4"/>
    </row>
    <row r="6" spans="1:13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G6" t="s">
        <v>57</v>
      </c>
      <c r="H6" t="s">
        <v>54</v>
      </c>
      <c r="I6" t="s">
        <v>61</v>
      </c>
      <c r="K6">
        <v>-60.138164520263601</v>
      </c>
      <c r="L6">
        <v>-55</v>
      </c>
    </row>
    <row r="7" spans="1:13">
      <c r="A7" s="27">
        <v>45980</v>
      </c>
      <c r="B7" s="28" t="s">
        <v>44</v>
      </c>
      <c r="C7" s="28">
        <v>63564</v>
      </c>
      <c r="D7">
        <v>1525</v>
      </c>
      <c r="E7" s="28" t="s">
        <v>62</v>
      </c>
      <c r="F7" s="28" t="s">
        <v>46</v>
      </c>
      <c r="G7" t="s">
        <v>57</v>
      </c>
      <c r="H7" s="28" t="s">
        <v>54</v>
      </c>
      <c r="I7" s="28"/>
      <c r="J7" s="28"/>
      <c r="K7" s="28">
        <v>-64.690956115722599</v>
      </c>
      <c r="L7" s="28">
        <v>-68</v>
      </c>
    </row>
    <row r="8" spans="1:13">
      <c r="A8" s="27">
        <v>45980</v>
      </c>
      <c r="B8" s="28" t="s">
        <v>44</v>
      </c>
      <c r="C8" s="28">
        <v>63565</v>
      </c>
      <c r="D8">
        <v>1526</v>
      </c>
      <c r="E8" s="28" t="s">
        <v>63</v>
      </c>
      <c r="F8" s="28" t="s">
        <v>46</v>
      </c>
      <c r="G8" t="s">
        <v>57</v>
      </c>
      <c r="H8" s="28" t="s">
        <v>48</v>
      </c>
      <c r="I8" s="28"/>
      <c r="J8" s="28"/>
      <c r="K8" s="28">
        <v>-56.795608520507798</v>
      </c>
      <c r="L8" s="28">
        <v>-67</v>
      </c>
    </row>
    <row r="9" spans="1:13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G9" t="s">
        <v>57</v>
      </c>
      <c r="H9" t="s">
        <v>48</v>
      </c>
      <c r="K9">
        <v>-64.213279724120994</v>
      </c>
      <c r="L9" s="4"/>
    </row>
    <row r="10" spans="1:13">
      <c r="A10" s="27">
        <v>45981</v>
      </c>
      <c r="B10" s="28" t="s">
        <v>44</v>
      </c>
      <c r="C10" s="28">
        <v>63552</v>
      </c>
      <c r="D10">
        <v>1528</v>
      </c>
      <c r="E10" s="28" t="s">
        <v>51</v>
      </c>
      <c r="F10" s="28" t="s">
        <v>65</v>
      </c>
      <c r="G10" t="s">
        <v>57</v>
      </c>
      <c r="H10" s="28" t="s">
        <v>48</v>
      </c>
      <c r="I10" s="28" t="s">
        <v>66</v>
      </c>
      <c r="J10" s="28"/>
      <c r="K10" s="28">
        <v>-61.884849548339801</v>
      </c>
      <c r="L10" s="28">
        <v>-60</v>
      </c>
    </row>
    <row r="11" spans="1:13">
      <c r="A11" s="29">
        <v>45981</v>
      </c>
      <c r="B11" s="30" t="s">
        <v>44</v>
      </c>
      <c r="C11" s="30">
        <v>63553</v>
      </c>
      <c r="D11">
        <v>1529</v>
      </c>
      <c r="E11" s="30" t="s">
        <v>53</v>
      </c>
      <c r="F11" s="30" t="s">
        <v>65</v>
      </c>
      <c r="G11" t="s">
        <v>57</v>
      </c>
      <c r="H11" s="30" t="s">
        <v>54</v>
      </c>
      <c r="I11" s="30" t="s">
        <v>67</v>
      </c>
      <c r="J11" s="30"/>
      <c r="K11" s="30">
        <v>-64.257217407226506</v>
      </c>
      <c r="L11" s="30">
        <v>-58</v>
      </c>
    </row>
    <row r="12" spans="1:13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G12" t="s">
        <v>257</v>
      </c>
      <c r="H12" t="s">
        <v>54</v>
      </c>
      <c r="K12">
        <v>-55.196163177490199</v>
      </c>
      <c r="L12">
        <v>-55</v>
      </c>
    </row>
    <row r="13" spans="1:13">
      <c r="A13" s="2">
        <v>45985</v>
      </c>
      <c r="B13" t="s">
        <v>69</v>
      </c>
      <c r="C13">
        <v>63550</v>
      </c>
      <c r="D13" s="19">
        <v>1531</v>
      </c>
      <c r="E13" t="s">
        <v>68</v>
      </c>
      <c r="F13" t="s">
        <v>65</v>
      </c>
      <c r="G13" t="s">
        <v>257</v>
      </c>
      <c r="H13" t="s">
        <v>54</v>
      </c>
      <c r="K13">
        <v>-54.4396362304687</v>
      </c>
      <c r="L13">
        <v>-65</v>
      </c>
    </row>
    <row r="14" spans="1:13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G14" t="s">
        <v>257</v>
      </c>
      <c r="H14" t="s">
        <v>54</v>
      </c>
      <c r="I14" t="s">
        <v>73</v>
      </c>
      <c r="K14">
        <v>-60.491744995117102</v>
      </c>
      <c r="L14">
        <v>-45</v>
      </c>
    </row>
    <row r="15" spans="1:13">
      <c r="A15" s="27">
        <v>45985</v>
      </c>
      <c r="B15" s="28" t="s">
        <v>69</v>
      </c>
      <c r="C15" s="28">
        <v>63550</v>
      </c>
      <c r="D15" s="19">
        <v>1533</v>
      </c>
      <c r="E15" s="28" t="s">
        <v>74</v>
      </c>
      <c r="F15" s="28" t="s">
        <v>65</v>
      </c>
      <c r="G15" t="s">
        <v>257</v>
      </c>
      <c r="H15" s="28" t="s">
        <v>54</v>
      </c>
      <c r="I15" s="28"/>
      <c r="J15" s="28"/>
      <c r="K15" s="28">
        <v>-65.214653015136705</v>
      </c>
      <c r="L15" s="28">
        <v>-59</v>
      </c>
    </row>
    <row r="16" spans="1:13">
      <c r="A16" s="29">
        <v>45985</v>
      </c>
      <c r="B16" s="30" t="s">
        <v>44</v>
      </c>
      <c r="C16" s="30">
        <v>63551</v>
      </c>
      <c r="D16">
        <v>1534</v>
      </c>
      <c r="E16" s="30" t="s">
        <v>76</v>
      </c>
      <c r="F16" s="30" t="s">
        <v>65</v>
      </c>
      <c r="G16" t="s">
        <v>257</v>
      </c>
      <c r="H16" s="30" t="s">
        <v>48</v>
      </c>
      <c r="I16" s="30" t="s">
        <v>77</v>
      </c>
      <c r="J16" s="30"/>
      <c r="K16" s="30">
        <v>-60.138164520263601</v>
      </c>
      <c r="L16" s="30">
        <v>-53</v>
      </c>
    </row>
    <row r="17" spans="1:12">
      <c r="A17" s="27">
        <v>46000</v>
      </c>
      <c r="B17" s="28" t="s">
        <v>69</v>
      </c>
      <c r="C17" s="28">
        <v>63542</v>
      </c>
      <c r="D17" s="19">
        <v>1536</v>
      </c>
      <c r="E17" s="28" t="s">
        <v>78</v>
      </c>
      <c r="F17" s="28" t="s">
        <v>65</v>
      </c>
      <c r="G17" t="s">
        <v>57</v>
      </c>
      <c r="H17" s="28" t="s">
        <v>48</v>
      </c>
      <c r="I17" s="28" t="s">
        <v>79</v>
      </c>
      <c r="J17" s="28"/>
      <c r="K17" s="28">
        <v>-66.048759460449205</v>
      </c>
      <c r="L17" s="28">
        <v>-65</v>
      </c>
    </row>
    <row r="18" spans="1:12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G18" t="s">
        <v>57</v>
      </c>
      <c r="H18" t="s">
        <v>54</v>
      </c>
      <c r="I18" t="s">
        <v>81</v>
      </c>
      <c r="K18">
        <v>-59.208274841308501</v>
      </c>
      <c r="L18">
        <v>-15</v>
      </c>
    </row>
    <row r="19" spans="1:12">
      <c r="A19" s="2">
        <v>46000</v>
      </c>
      <c r="B19" t="s">
        <v>69</v>
      </c>
      <c r="C19">
        <v>63543</v>
      </c>
      <c r="D19" s="19">
        <v>1538</v>
      </c>
      <c r="E19" t="s">
        <v>82</v>
      </c>
      <c r="F19" t="s">
        <v>65</v>
      </c>
      <c r="G19" t="s">
        <v>57</v>
      </c>
      <c r="H19" t="s">
        <v>54</v>
      </c>
      <c r="I19" t="s">
        <v>83</v>
      </c>
      <c r="K19">
        <v>-69.174057006835895</v>
      </c>
      <c r="L19">
        <v>-68</v>
      </c>
    </row>
    <row r="20" spans="1:12">
      <c r="A20" s="27">
        <v>46000</v>
      </c>
      <c r="B20" s="28" t="s">
        <v>44</v>
      </c>
      <c r="C20" s="28">
        <v>63543</v>
      </c>
      <c r="D20">
        <v>1539</v>
      </c>
      <c r="E20" s="28" t="s">
        <v>84</v>
      </c>
      <c r="F20" s="28" t="s">
        <v>65</v>
      </c>
      <c r="G20" t="s">
        <v>57</v>
      </c>
      <c r="H20" s="28" t="s">
        <v>54</v>
      </c>
      <c r="I20" s="28" t="s">
        <v>85</v>
      </c>
      <c r="J20" s="28"/>
      <c r="K20" s="28">
        <v>-63.7976264953613</v>
      </c>
      <c r="L20" s="28">
        <v>-58</v>
      </c>
    </row>
    <row r="21" spans="1:12">
      <c r="A21" s="27">
        <v>46001</v>
      </c>
      <c r="B21" s="28" t="s">
        <v>69</v>
      </c>
      <c r="C21" s="28">
        <v>63558</v>
      </c>
      <c r="D21">
        <v>1540</v>
      </c>
      <c r="E21" s="28" t="s">
        <v>86</v>
      </c>
      <c r="F21" s="28" t="s">
        <v>46</v>
      </c>
      <c r="G21" t="s">
        <v>257</v>
      </c>
      <c r="H21" s="28" t="s">
        <v>54</v>
      </c>
      <c r="I21" s="28"/>
      <c r="J21" s="28"/>
      <c r="K21" s="28">
        <v>-57.144802093505803</v>
      </c>
      <c r="L21" s="28">
        <v>-45</v>
      </c>
    </row>
    <row r="22" spans="1:12">
      <c r="A22" s="2">
        <v>46001</v>
      </c>
      <c r="B22" t="s">
        <v>69</v>
      </c>
      <c r="C22">
        <v>63559</v>
      </c>
      <c r="D22" s="19">
        <v>1541</v>
      </c>
      <c r="E22" t="s">
        <v>87</v>
      </c>
      <c r="F22" t="s">
        <v>46</v>
      </c>
      <c r="G22" t="s">
        <v>257</v>
      </c>
      <c r="H22" t="s">
        <v>48</v>
      </c>
      <c r="I22" t="s">
        <v>88</v>
      </c>
      <c r="K22">
        <v>-54.118686676025298</v>
      </c>
      <c r="L22">
        <v>-50</v>
      </c>
    </row>
    <row r="23" spans="1:12">
      <c r="A23" s="27">
        <v>46001</v>
      </c>
      <c r="B23" s="28" t="s">
        <v>90</v>
      </c>
      <c r="C23" s="28">
        <v>63559</v>
      </c>
      <c r="D23" s="19">
        <v>1542</v>
      </c>
      <c r="E23" s="28" t="s">
        <v>91</v>
      </c>
      <c r="F23" s="28" t="s">
        <v>46</v>
      </c>
      <c r="G23" t="s">
        <v>257</v>
      </c>
      <c r="H23" s="28" t="s">
        <v>48</v>
      </c>
      <c r="I23" s="28"/>
      <c r="J23" s="28"/>
      <c r="K23" s="28">
        <v>-32.476371765136697</v>
      </c>
      <c r="L23" s="32"/>
    </row>
    <row r="24" spans="1:12">
      <c r="A24" s="27">
        <v>46002</v>
      </c>
      <c r="B24" s="28" t="s">
        <v>69</v>
      </c>
      <c r="C24" s="28">
        <v>63560</v>
      </c>
      <c r="D24">
        <v>1543</v>
      </c>
      <c r="E24" s="28" t="s">
        <v>93</v>
      </c>
      <c r="F24" s="28" t="s">
        <v>46</v>
      </c>
      <c r="G24" t="s">
        <v>57</v>
      </c>
      <c r="H24" s="28" t="s">
        <v>54</v>
      </c>
      <c r="I24" s="28" t="s">
        <v>94</v>
      </c>
      <c r="J24" s="28"/>
      <c r="K24" s="28">
        <v>-47.746295928955</v>
      </c>
      <c r="L24" s="28">
        <v>-64</v>
      </c>
    </row>
    <row r="25" spans="1:12">
      <c r="A25" s="2">
        <v>46002</v>
      </c>
      <c r="B25" t="s">
        <v>69</v>
      </c>
      <c r="C25">
        <v>63561</v>
      </c>
      <c r="D25" s="19">
        <v>1544</v>
      </c>
      <c r="E25" t="s">
        <v>95</v>
      </c>
      <c r="F25" t="s">
        <v>46</v>
      </c>
      <c r="G25" t="s">
        <v>57</v>
      </c>
      <c r="H25" t="s">
        <v>48</v>
      </c>
      <c r="I25" t="s">
        <v>96</v>
      </c>
      <c r="K25">
        <v>-44.802642822265597</v>
      </c>
      <c r="L25">
        <v>-64</v>
      </c>
    </row>
    <row r="26" spans="1:12">
      <c r="A26" s="27">
        <v>46002</v>
      </c>
      <c r="B26" s="28" t="s">
        <v>44</v>
      </c>
      <c r="C26" s="28">
        <v>63561</v>
      </c>
      <c r="D26">
        <v>1545</v>
      </c>
      <c r="E26" s="28" t="s">
        <v>97</v>
      </c>
      <c r="F26" s="28" t="s">
        <v>46</v>
      </c>
      <c r="G26" t="s">
        <v>57</v>
      </c>
      <c r="H26" s="28" t="s">
        <v>48</v>
      </c>
      <c r="I26" s="28"/>
      <c r="J26" s="28"/>
      <c r="K26" s="28">
        <v>-74.885505676269503</v>
      </c>
      <c r="L26" s="28">
        <v>-75</v>
      </c>
    </row>
    <row r="27" spans="1:12">
      <c r="A27" s="27">
        <v>46002</v>
      </c>
      <c r="B27" s="28" t="s">
        <v>90</v>
      </c>
      <c r="C27" s="28">
        <v>63560</v>
      </c>
      <c r="D27" s="19">
        <v>1546</v>
      </c>
      <c r="E27" s="28"/>
      <c r="F27" s="28" t="s">
        <v>46</v>
      </c>
      <c r="G27" t="s">
        <v>57</v>
      </c>
      <c r="H27" s="28" t="s">
        <v>48</v>
      </c>
      <c r="I27" s="28"/>
      <c r="J27" s="28"/>
      <c r="K27" s="28">
        <v>-31.250228881835898</v>
      </c>
      <c r="L27" s="32"/>
    </row>
    <row r="28" spans="1:12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G28" t="s">
        <v>257</v>
      </c>
      <c r="H28" t="s">
        <v>54</v>
      </c>
      <c r="I28" t="s">
        <v>100</v>
      </c>
      <c r="K28">
        <v>-54.801189422607401</v>
      </c>
      <c r="L28">
        <v>-51</v>
      </c>
    </row>
    <row r="29" spans="1:12">
      <c r="A29" s="2">
        <v>46003</v>
      </c>
      <c r="B29" t="s">
        <v>101</v>
      </c>
      <c r="C29">
        <v>63544</v>
      </c>
      <c r="D29" s="19">
        <v>1548</v>
      </c>
      <c r="E29" t="s">
        <v>102</v>
      </c>
      <c r="F29" t="s">
        <v>65</v>
      </c>
      <c r="G29" t="s">
        <v>257</v>
      </c>
      <c r="H29" t="s">
        <v>54</v>
      </c>
      <c r="I29" t="s">
        <v>103</v>
      </c>
      <c r="K29">
        <v>-18.1497592926025</v>
      </c>
      <c r="L29">
        <v>-65</v>
      </c>
    </row>
    <row r="30" spans="1:12">
      <c r="A30" s="27">
        <v>46003</v>
      </c>
      <c r="B30" s="28" t="s">
        <v>90</v>
      </c>
      <c r="C30" s="28">
        <v>63544</v>
      </c>
      <c r="D30">
        <v>1549</v>
      </c>
      <c r="E30" s="28" t="s">
        <v>104</v>
      </c>
      <c r="F30" s="28" t="s">
        <v>65</v>
      </c>
      <c r="G30" t="s">
        <v>257</v>
      </c>
      <c r="H30" s="28" t="s">
        <v>54</v>
      </c>
      <c r="I30" s="28"/>
      <c r="J30" s="28"/>
      <c r="K30" s="28">
        <v>-61.051807403564403</v>
      </c>
      <c r="L30" s="28">
        <v>-49</v>
      </c>
    </row>
    <row r="31" spans="1:12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G31" t="s">
        <v>257</v>
      </c>
      <c r="H31" t="s">
        <v>48</v>
      </c>
      <c r="I31" t="s">
        <v>106</v>
      </c>
      <c r="K31">
        <v>-46.307552337646399</v>
      </c>
      <c r="L31">
        <v>-61</v>
      </c>
    </row>
    <row r="32" spans="1:12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G32" t="s">
        <v>257</v>
      </c>
      <c r="H32" t="s">
        <v>108</v>
      </c>
      <c r="I32" t="s">
        <v>109</v>
      </c>
      <c r="K32">
        <v>-59.285091400146399</v>
      </c>
      <c r="L32">
        <v>-51</v>
      </c>
    </row>
    <row r="33" spans="1:12">
      <c r="A33" s="29">
        <v>46003</v>
      </c>
      <c r="B33" s="30" t="s">
        <v>90</v>
      </c>
      <c r="C33" s="30">
        <v>63545</v>
      </c>
      <c r="D33" s="81">
        <v>1552</v>
      </c>
      <c r="E33" s="30" t="s">
        <v>110</v>
      </c>
      <c r="F33" s="30" t="s">
        <v>65</v>
      </c>
      <c r="G33" t="s">
        <v>257</v>
      </c>
      <c r="H33" s="30" t="s">
        <v>48</v>
      </c>
      <c r="I33" s="30"/>
      <c r="J33" s="30"/>
      <c r="K33" s="31"/>
      <c r="L33" s="30">
        <v>-42</v>
      </c>
    </row>
    <row r="34" spans="1:12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H34" t="s">
        <v>48</v>
      </c>
      <c r="K34">
        <v>-69.831962585449205</v>
      </c>
      <c r="L34">
        <v>-68</v>
      </c>
    </row>
    <row r="35" spans="1:12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H35" t="s">
        <v>48</v>
      </c>
      <c r="K35">
        <v>-62.549793243408203</v>
      </c>
      <c r="L35">
        <v>-70</v>
      </c>
    </row>
    <row r="36" spans="1:12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H36" t="s">
        <v>48</v>
      </c>
      <c r="I36" t="s">
        <v>112</v>
      </c>
      <c r="K36">
        <v>-62.680618286132798</v>
      </c>
      <c r="L36">
        <v>-60</v>
      </c>
    </row>
    <row r="37" spans="1:12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H37" t="s">
        <v>48</v>
      </c>
      <c r="K37">
        <v>-57.136283874511697</v>
      </c>
      <c r="L37">
        <v>-42</v>
      </c>
    </row>
    <row r="38" spans="1:12">
      <c r="A38" s="27">
        <v>46007</v>
      </c>
      <c r="B38" s="28" t="s">
        <v>90</v>
      </c>
      <c r="C38" s="28">
        <v>63549</v>
      </c>
      <c r="D38">
        <v>1557</v>
      </c>
      <c r="E38" s="28" t="s">
        <v>114</v>
      </c>
      <c r="F38" s="28" t="s">
        <v>65</v>
      </c>
      <c r="H38" s="28" t="s">
        <v>48</v>
      </c>
      <c r="I38" s="28" t="s">
        <v>115</v>
      </c>
      <c r="J38" s="28"/>
      <c r="K38" s="28">
        <v>-65.283187866210895</v>
      </c>
      <c r="L38" s="28">
        <v>-63</v>
      </c>
    </row>
    <row r="39" spans="1:12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H39" t="s">
        <v>54</v>
      </c>
      <c r="K39">
        <v>-60.0984077453613</v>
      </c>
      <c r="L39">
        <v>-68</v>
      </c>
    </row>
    <row r="40" spans="1:12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H40" t="s">
        <v>54</v>
      </c>
      <c r="K40">
        <v>-54.056751251220703</v>
      </c>
      <c r="L40">
        <v>-59</v>
      </c>
    </row>
    <row r="41" spans="1:12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H41" t="s">
        <v>54</v>
      </c>
      <c r="I41" t="s">
        <v>119</v>
      </c>
      <c r="K41">
        <v>-60.664352416992102</v>
      </c>
      <c r="L41">
        <v>-60</v>
      </c>
    </row>
    <row r="42" spans="1:12">
      <c r="A42" s="27">
        <v>46007</v>
      </c>
      <c r="B42" s="28" t="s">
        <v>90</v>
      </c>
      <c r="C42" s="28">
        <v>63546</v>
      </c>
      <c r="D42" s="58">
        <v>1561</v>
      </c>
      <c r="E42" s="28" t="s">
        <v>120</v>
      </c>
      <c r="F42" s="28" t="s">
        <v>65</v>
      </c>
      <c r="H42" s="28" t="s">
        <v>54</v>
      </c>
      <c r="I42" s="28" t="s">
        <v>121</v>
      </c>
      <c r="J42" s="28"/>
      <c r="K42" s="28">
        <v>-33.1738891601562</v>
      </c>
      <c r="L42" s="28">
        <v>-31</v>
      </c>
    </row>
    <row r="43" spans="1:12">
      <c r="A43" s="2">
        <v>46008</v>
      </c>
      <c r="B43" t="s">
        <v>90</v>
      </c>
      <c r="C43">
        <v>63554</v>
      </c>
      <c r="D43" s="19">
        <v>1562</v>
      </c>
      <c r="E43" t="s">
        <v>91</v>
      </c>
      <c r="F43" t="s">
        <v>46</v>
      </c>
      <c r="H43" t="s">
        <v>54</v>
      </c>
      <c r="K43">
        <v>-59.842552185058501</v>
      </c>
      <c r="L43">
        <v>-5</v>
      </c>
    </row>
    <row r="44" spans="1:12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H44" t="s">
        <v>54</v>
      </c>
      <c r="I44" t="s">
        <v>123</v>
      </c>
      <c r="K44">
        <v>-57.323329925537102</v>
      </c>
      <c r="L44">
        <v>-45</v>
      </c>
    </row>
    <row r="45" spans="1:12">
      <c r="A45" s="27">
        <v>46008</v>
      </c>
      <c r="B45" s="28" t="s">
        <v>44</v>
      </c>
      <c r="C45" s="28">
        <v>63554</v>
      </c>
      <c r="D45">
        <v>1564</v>
      </c>
      <c r="E45" s="28" t="s">
        <v>124</v>
      </c>
      <c r="F45" s="28" t="s">
        <v>46</v>
      </c>
      <c r="H45" s="28" t="s">
        <v>54</v>
      </c>
      <c r="I45" s="28" t="s">
        <v>125</v>
      </c>
      <c r="J45" s="28"/>
      <c r="K45" s="28">
        <v>-42.973609924316399</v>
      </c>
      <c r="L45" s="28">
        <v>-45</v>
      </c>
    </row>
    <row r="46" spans="1:12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H46" t="s">
        <v>48</v>
      </c>
      <c r="I46" t="s">
        <v>127</v>
      </c>
      <c r="K46">
        <v>-71.541549682617102</v>
      </c>
      <c r="L46">
        <v>-68</v>
      </c>
    </row>
    <row r="47" spans="1:12">
      <c r="A47" s="2">
        <v>46008</v>
      </c>
      <c r="B47" t="s">
        <v>90</v>
      </c>
      <c r="C47">
        <v>63555</v>
      </c>
      <c r="D47" s="19">
        <v>1566</v>
      </c>
      <c r="E47" t="s">
        <v>104</v>
      </c>
      <c r="F47" t="s">
        <v>46</v>
      </c>
      <c r="H47" t="s">
        <v>48</v>
      </c>
      <c r="K47">
        <v>-51.133152008056598</v>
      </c>
      <c r="L47">
        <v>-75</v>
      </c>
    </row>
    <row r="48" spans="1:12">
      <c r="A48" s="27">
        <v>46008</v>
      </c>
      <c r="B48" s="28" t="s">
        <v>90</v>
      </c>
      <c r="C48" s="28">
        <v>63555</v>
      </c>
      <c r="D48">
        <v>1567</v>
      </c>
      <c r="E48" s="28" t="s">
        <v>110</v>
      </c>
      <c r="F48" s="28" t="s">
        <v>46</v>
      </c>
      <c r="H48" s="28" t="s">
        <v>48</v>
      </c>
      <c r="I48" s="28"/>
      <c r="J48" s="28"/>
      <c r="K48" s="28">
        <v>-65.958045959472599</v>
      </c>
      <c r="L48" s="28">
        <v>-53</v>
      </c>
    </row>
    <row r="49" spans="1:12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H49" t="s">
        <v>54</v>
      </c>
      <c r="K49">
        <v>-61.160972595214801</v>
      </c>
      <c r="L49" s="4"/>
    </row>
    <row r="50" spans="1:12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H50" t="s">
        <v>54</v>
      </c>
      <c r="K50">
        <v>-57.936534881591697</v>
      </c>
      <c r="L50">
        <v>-63</v>
      </c>
    </row>
    <row r="51" spans="1:12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H51" t="s">
        <v>54</v>
      </c>
      <c r="I51" t="s">
        <v>130</v>
      </c>
      <c r="K51">
        <v>-61.701087951660099</v>
      </c>
      <c r="L51">
        <v>-60</v>
      </c>
    </row>
    <row r="52" spans="1:12">
      <c r="A52" s="27">
        <v>46009</v>
      </c>
      <c r="B52" s="28" t="s">
        <v>44</v>
      </c>
      <c r="C52" s="28">
        <v>63556</v>
      </c>
      <c r="D52" s="58">
        <v>1571</v>
      </c>
      <c r="E52" s="28" t="s">
        <v>120</v>
      </c>
      <c r="F52" s="28" t="s">
        <v>46</v>
      </c>
      <c r="H52" s="28" t="s">
        <v>54</v>
      </c>
      <c r="I52" s="28"/>
      <c r="J52" s="28"/>
      <c r="K52" s="28">
        <v>-52.3719482421875</v>
      </c>
      <c r="L52" s="28">
        <v>-50</v>
      </c>
    </row>
    <row r="53" spans="1:12">
      <c r="A53" s="27">
        <v>46009</v>
      </c>
      <c r="B53" s="28" t="s">
        <v>44</v>
      </c>
      <c r="C53" s="28">
        <v>63557</v>
      </c>
      <c r="D53">
        <v>1572</v>
      </c>
      <c r="E53" s="28" t="s">
        <v>131</v>
      </c>
      <c r="F53" s="28" t="s">
        <v>46</v>
      </c>
      <c r="H53" s="28" t="s">
        <v>48</v>
      </c>
      <c r="I53" s="28" t="s">
        <v>132</v>
      </c>
      <c r="J53" s="28"/>
      <c r="K53" s="28">
        <v>-63.303707122802699</v>
      </c>
      <c r="L53" s="28">
        <v>-60</v>
      </c>
    </row>
    <row r="54" spans="1:12">
      <c r="A54" s="27">
        <v>46010</v>
      </c>
      <c r="B54" s="28" t="s">
        <v>69</v>
      </c>
      <c r="C54" s="28">
        <v>63547</v>
      </c>
      <c r="D54">
        <v>1573</v>
      </c>
      <c r="E54" s="28" t="s">
        <v>133</v>
      </c>
      <c r="F54" s="28" t="s">
        <v>65</v>
      </c>
      <c r="H54" s="28" t="s">
        <v>48</v>
      </c>
      <c r="I54" s="28" t="s">
        <v>134</v>
      </c>
      <c r="J54" s="28"/>
      <c r="K54" s="28">
        <v>-50.831607818603501</v>
      </c>
      <c r="L54" s="28">
        <v>-60</v>
      </c>
    </row>
    <row r="55" spans="1:12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H55" t="s">
        <v>54</v>
      </c>
      <c r="I55" t="s">
        <v>135</v>
      </c>
      <c r="K55">
        <v>-65.034881591796804</v>
      </c>
      <c r="L55">
        <v>-73</v>
      </c>
    </row>
    <row r="56" spans="1:12">
      <c r="A56" s="2">
        <v>46010</v>
      </c>
      <c r="B56" t="s">
        <v>90</v>
      </c>
      <c r="C56">
        <v>63548</v>
      </c>
      <c r="D56" s="58">
        <v>1575</v>
      </c>
      <c r="E56" t="s">
        <v>87</v>
      </c>
      <c r="F56" t="s">
        <v>65</v>
      </c>
      <c r="H56" t="s">
        <v>54</v>
      </c>
      <c r="I56" t="s">
        <v>136</v>
      </c>
      <c r="K56" s="4"/>
      <c r="L56">
        <v>-64</v>
      </c>
    </row>
    <row r="57" spans="1:12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H57" t="s">
        <v>54</v>
      </c>
      <c r="I57" t="s">
        <v>138</v>
      </c>
      <c r="K57">
        <v>-51.618473052978501</v>
      </c>
      <c r="L57">
        <v>-58</v>
      </c>
    </row>
    <row r="58" spans="1:12">
      <c r="A58" s="29">
        <v>46010</v>
      </c>
      <c r="B58" s="30" t="s">
        <v>90</v>
      </c>
      <c r="C58" s="30">
        <v>63548</v>
      </c>
      <c r="D58">
        <v>1577</v>
      </c>
      <c r="E58" s="30" t="s">
        <v>110</v>
      </c>
      <c r="F58" s="30" t="s">
        <v>65</v>
      </c>
      <c r="G58" s="30"/>
      <c r="H58" s="30" t="s">
        <v>54</v>
      </c>
      <c r="I58" s="30" t="s">
        <v>139</v>
      </c>
      <c r="J58" s="30"/>
      <c r="K58" s="30">
        <v>-58.5993041992187</v>
      </c>
      <c r="L58" s="30">
        <v>-61</v>
      </c>
    </row>
    <row r="59" spans="1:12">
      <c r="A59" s="61">
        <v>46028</v>
      </c>
      <c r="B59" s="60" t="s">
        <v>44</v>
      </c>
      <c r="C59" s="60">
        <v>64063</v>
      </c>
      <c r="D59">
        <v>1578</v>
      </c>
      <c r="E59" s="60" t="s">
        <v>140</v>
      </c>
      <c r="F59" s="60" t="s">
        <v>46</v>
      </c>
      <c r="H59" s="60" t="s">
        <v>258</v>
      </c>
      <c r="I59" s="60" t="s">
        <v>141</v>
      </c>
      <c r="K59">
        <v>-64.186660766601506</v>
      </c>
      <c r="L59">
        <v>-65</v>
      </c>
    </row>
    <row r="60" spans="1:12">
      <c r="A60" s="63">
        <v>46028</v>
      </c>
      <c r="B60" s="62" t="s">
        <v>44</v>
      </c>
      <c r="C60" s="62">
        <v>64063</v>
      </c>
      <c r="D60">
        <v>1579</v>
      </c>
      <c r="E60" s="62" t="s">
        <v>142</v>
      </c>
      <c r="F60" s="62" t="s">
        <v>46</v>
      </c>
      <c r="H60" s="62" t="s">
        <v>258</v>
      </c>
      <c r="I60" s="62" t="s">
        <v>143</v>
      </c>
      <c r="K60">
        <v>-66.314437866210895</v>
      </c>
      <c r="L60">
        <v>-65</v>
      </c>
    </row>
    <row r="61" spans="1:12">
      <c r="A61" s="61">
        <v>46028</v>
      </c>
      <c r="B61" s="60" t="s">
        <v>44</v>
      </c>
      <c r="C61" s="60">
        <v>64064</v>
      </c>
      <c r="D61">
        <v>1580</v>
      </c>
      <c r="E61" s="60" t="s">
        <v>144</v>
      </c>
      <c r="F61" s="60" t="s">
        <v>46</v>
      </c>
      <c r="H61" s="60" t="s">
        <v>259</v>
      </c>
      <c r="I61" s="60"/>
      <c r="K61">
        <v>-59.03169631958</v>
      </c>
      <c r="L61">
        <v>-59</v>
      </c>
    </row>
    <row r="62" spans="1:12">
      <c r="A62" s="61">
        <v>46028</v>
      </c>
      <c r="B62" s="60" t="s">
        <v>44</v>
      </c>
      <c r="C62" s="60">
        <v>64064</v>
      </c>
      <c r="D62">
        <v>1581</v>
      </c>
      <c r="E62" s="60" t="s">
        <v>145</v>
      </c>
      <c r="F62" s="60" t="s">
        <v>46</v>
      </c>
      <c r="H62" s="60" t="s">
        <v>259</v>
      </c>
      <c r="I62" s="60"/>
      <c r="K62">
        <v>-43.698745727538999</v>
      </c>
      <c r="L62">
        <v>-45</v>
      </c>
    </row>
    <row r="63" spans="1:12">
      <c r="A63" s="63">
        <v>46028</v>
      </c>
      <c r="B63" s="62" t="s">
        <v>90</v>
      </c>
      <c r="C63" s="62">
        <v>64064</v>
      </c>
      <c r="D63" s="19">
        <v>1582</v>
      </c>
      <c r="E63" s="62" t="s">
        <v>102</v>
      </c>
      <c r="F63" s="62" t="s">
        <v>46</v>
      </c>
      <c r="H63" s="62" t="s">
        <v>259</v>
      </c>
      <c r="I63" s="62"/>
      <c r="K63">
        <v>-72.330291748046804</v>
      </c>
      <c r="L63">
        <v>-73</v>
      </c>
    </row>
    <row r="64" spans="1:12">
      <c r="A64" s="63">
        <v>46030</v>
      </c>
      <c r="B64" s="62" t="s">
        <v>44</v>
      </c>
      <c r="C64" s="62">
        <v>64055</v>
      </c>
      <c r="D64">
        <v>1583</v>
      </c>
      <c r="E64" s="62" t="s">
        <v>99</v>
      </c>
      <c r="F64" s="62" t="s">
        <v>65</v>
      </c>
      <c r="H64" s="62" t="s">
        <v>258</v>
      </c>
      <c r="I64" s="62" t="s">
        <v>147</v>
      </c>
      <c r="K64">
        <v>-55.441585540771399</v>
      </c>
      <c r="L64">
        <v>-52</v>
      </c>
    </row>
    <row r="65" spans="1:12">
      <c r="A65" s="61">
        <v>46030</v>
      </c>
      <c r="B65" s="60" t="s">
        <v>44</v>
      </c>
      <c r="C65" s="60">
        <v>64056</v>
      </c>
      <c r="D65">
        <v>1584</v>
      </c>
      <c r="E65" s="60" t="s">
        <v>148</v>
      </c>
      <c r="F65" s="60" t="s">
        <v>65</v>
      </c>
      <c r="H65" s="60" t="s">
        <v>259</v>
      </c>
      <c r="I65" s="60"/>
      <c r="K65">
        <v>-48.275001525878899</v>
      </c>
      <c r="L65">
        <v>-45</v>
      </c>
    </row>
    <row r="66" spans="1:12">
      <c r="A66" s="61">
        <v>46030</v>
      </c>
      <c r="B66" s="60" t="s">
        <v>69</v>
      </c>
      <c r="C66" s="60">
        <v>64056</v>
      </c>
      <c r="D66">
        <v>1585</v>
      </c>
      <c r="E66" s="60" t="s">
        <v>149</v>
      </c>
      <c r="F66" s="60" t="s">
        <v>65</v>
      </c>
      <c r="H66" s="60" t="s">
        <v>259</v>
      </c>
      <c r="I66" s="60"/>
      <c r="K66">
        <v>-51.312614440917898</v>
      </c>
      <c r="L66">
        <v>-52</v>
      </c>
    </row>
    <row r="67" spans="1:12">
      <c r="A67" s="61">
        <v>46030</v>
      </c>
      <c r="B67" s="60" t="s">
        <v>90</v>
      </c>
      <c r="C67" s="60">
        <v>64056</v>
      </c>
      <c r="D67">
        <v>1586</v>
      </c>
      <c r="E67" s="60" t="s">
        <v>149</v>
      </c>
      <c r="F67" s="60" t="s">
        <v>65</v>
      </c>
      <c r="H67" s="60" t="s">
        <v>259</v>
      </c>
      <c r="I67" s="60"/>
      <c r="K67">
        <v>-59.946529388427699</v>
      </c>
      <c r="L67">
        <v>-60</v>
      </c>
    </row>
    <row r="68" spans="1:12">
      <c r="A68" s="63">
        <v>46030</v>
      </c>
      <c r="B68" s="62" t="s">
        <v>90</v>
      </c>
      <c r="C68" s="62">
        <v>64056</v>
      </c>
      <c r="D68">
        <v>1587</v>
      </c>
      <c r="E68" s="62" t="s">
        <v>150</v>
      </c>
      <c r="F68" s="62" t="s">
        <v>65</v>
      </c>
      <c r="H68" s="62" t="s">
        <v>259</v>
      </c>
      <c r="I68" s="62" t="s">
        <v>151</v>
      </c>
      <c r="K68">
        <v>-75.458816528320298</v>
      </c>
      <c r="L68">
        <v>-72</v>
      </c>
    </row>
    <row r="69" spans="1:12">
      <c r="A69" s="65">
        <v>46031</v>
      </c>
      <c r="B69" s="64" t="s">
        <v>90</v>
      </c>
      <c r="C69" s="64">
        <v>64065</v>
      </c>
      <c r="D69" s="19">
        <v>1588</v>
      </c>
      <c r="E69" s="64" t="s">
        <v>68</v>
      </c>
      <c r="F69" s="64" t="s">
        <v>46</v>
      </c>
      <c r="H69" s="60" t="s">
        <v>259</v>
      </c>
      <c r="I69" s="64" t="s">
        <v>153</v>
      </c>
      <c r="K69" s="4"/>
      <c r="L69">
        <v>-41</v>
      </c>
    </row>
    <row r="70" spans="1:12">
      <c r="A70" s="61">
        <v>46031</v>
      </c>
      <c r="B70" s="60" t="s">
        <v>44</v>
      </c>
      <c r="C70" s="60">
        <v>64065</v>
      </c>
      <c r="D70">
        <v>1589</v>
      </c>
      <c r="E70" s="60" t="s">
        <v>99</v>
      </c>
      <c r="F70" s="60" t="s">
        <v>46</v>
      </c>
      <c r="H70" s="60" t="s">
        <v>259</v>
      </c>
      <c r="I70" s="60"/>
      <c r="K70">
        <v>-59.839836120605398</v>
      </c>
      <c r="L70">
        <v>-60</v>
      </c>
    </row>
    <row r="71" spans="1:12">
      <c r="A71" s="63">
        <v>46031</v>
      </c>
      <c r="B71" s="62" t="s">
        <v>44</v>
      </c>
      <c r="C71" s="62">
        <v>64065</v>
      </c>
      <c r="D71">
        <v>1590</v>
      </c>
      <c r="E71" s="62" t="s">
        <v>142</v>
      </c>
      <c r="F71" s="62" t="s">
        <v>46</v>
      </c>
      <c r="H71" s="62" t="s">
        <v>259</v>
      </c>
      <c r="I71" s="62" t="s">
        <v>155</v>
      </c>
      <c r="K71">
        <v>-54.600898742675703</v>
      </c>
      <c r="L71">
        <v>-54</v>
      </c>
    </row>
    <row r="72" spans="1:12">
      <c r="A72" s="63">
        <v>46031</v>
      </c>
      <c r="B72" s="62" t="s">
        <v>69</v>
      </c>
      <c r="C72" s="62">
        <v>64066</v>
      </c>
      <c r="D72">
        <v>1591</v>
      </c>
      <c r="E72" s="62" t="s">
        <v>99</v>
      </c>
      <c r="F72" s="62" t="s">
        <v>46</v>
      </c>
      <c r="H72" s="62" t="s">
        <v>258</v>
      </c>
      <c r="I72" s="62" t="s">
        <v>153</v>
      </c>
      <c r="K72">
        <v>-57.258132934570298</v>
      </c>
      <c r="L72">
        <v>-60</v>
      </c>
    </row>
    <row r="73" spans="1:12">
      <c r="A73" s="66">
        <v>46035</v>
      </c>
      <c r="B73" s="56" t="s">
        <v>44</v>
      </c>
      <c r="C73" s="56">
        <v>64059</v>
      </c>
      <c r="D73">
        <v>1592</v>
      </c>
      <c r="E73" s="56" t="s">
        <v>99</v>
      </c>
      <c r="F73" s="56" t="s">
        <v>65</v>
      </c>
      <c r="H73" s="56" t="s">
        <v>259</v>
      </c>
      <c r="I73" s="56" t="s">
        <v>156</v>
      </c>
      <c r="K73">
        <v>-52.582466125488203</v>
      </c>
      <c r="L73">
        <v>-51</v>
      </c>
    </row>
    <row r="74" spans="1:12">
      <c r="A74" s="66">
        <v>46035</v>
      </c>
      <c r="B74" s="56" t="s">
        <v>44</v>
      </c>
      <c r="C74" s="56">
        <v>64059</v>
      </c>
      <c r="D74">
        <v>1593</v>
      </c>
      <c r="E74" s="56" t="s">
        <v>142</v>
      </c>
      <c r="F74" s="56" t="s">
        <v>65</v>
      </c>
      <c r="H74" s="56" t="s">
        <v>259</v>
      </c>
      <c r="I74" s="56" t="s">
        <v>157</v>
      </c>
      <c r="K74">
        <v>-57.334804534912102</v>
      </c>
      <c r="L74">
        <v>-57</v>
      </c>
    </row>
    <row r="75" spans="1:12">
      <c r="A75" s="67">
        <v>46035</v>
      </c>
      <c r="B75" s="57" t="s">
        <v>158</v>
      </c>
      <c r="C75" s="57">
        <v>64059</v>
      </c>
      <c r="D75" s="19">
        <v>1594</v>
      </c>
      <c r="E75" s="57"/>
      <c r="F75" s="57" t="s">
        <v>65</v>
      </c>
      <c r="H75" s="57" t="s">
        <v>259</v>
      </c>
      <c r="I75" s="57"/>
      <c r="K75">
        <v>-60.936882019042898</v>
      </c>
      <c r="L75">
        <v>-62</v>
      </c>
    </row>
    <row r="76" spans="1:12">
      <c r="A76" s="67">
        <v>46035</v>
      </c>
      <c r="B76" s="57" t="s">
        <v>44</v>
      </c>
      <c r="C76" s="57">
        <v>64060</v>
      </c>
      <c r="D76">
        <v>1595</v>
      </c>
      <c r="E76" s="57" t="s">
        <v>159</v>
      </c>
      <c r="F76" s="57" t="s">
        <v>65</v>
      </c>
      <c r="H76" s="57" t="s">
        <v>258</v>
      </c>
      <c r="I76" s="57" t="s">
        <v>160</v>
      </c>
      <c r="K76">
        <v>-62.8629150390625</v>
      </c>
      <c r="L76">
        <v>-62</v>
      </c>
    </row>
    <row r="77" spans="1:12">
      <c r="A77" s="66">
        <v>46036</v>
      </c>
      <c r="B77" s="56" t="s">
        <v>44</v>
      </c>
      <c r="C77" s="56">
        <v>64057</v>
      </c>
      <c r="D77">
        <v>1596</v>
      </c>
      <c r="E77" s="56" t="s">
        <v>107</v>
      </c>
      <c r="F77" s="56" t="s">
        <v>65</v>
      </c>
      <c r="H77" s="56" t="s">
        <v>258</v>
      </c>
      <c r="I77" s="56" t="s">
        <v>161</v>
      </c>
      <c r="K77">
        <v>-63.952083587646399</v>
      </c>
      <c r="L77">
        <v>-64</v>
      </c>
    </row>
    <row r="78" spans="1:12">
      <c r="A78" s="67">
        <v>46036</v>
      </c>
      <c r="B78" s="57" t="s">
        <v>44</v>
      </c>
      <c r="C78" s="57">
        <v>64057</v>
      </c>
      <c r="D78">
        <v>1597</v>
      </c>
      <c r="E78" s="57" t="s">
        <v>116</v>
      </c>
      <c r="F78" s="57" t="s">
        <v>65</v>
      </c>
      <c r="H78" s="57" t="s">
        <v>258</v>
      </c>
      <c r="I78" s="57" t="s">
        <v>162</v>
      </c>
      <c r="K78">
        <v>-62.974536895751903</v>
      </c>
      <c r="L78">
        <v>-65</v>
      </c>
    </row>
    <row r="79" spans="1:12">
      <c r="A79" s="66">
        <v>46036</v>
      </c>
      <c r="B79" s="56" t="s">
        <v>44</v>
      </c>
      <c r="C79" s="56">
        <v>64058</v>
      </c>
      <c r="D79" s="19">
        <v>1598</v>
      </c>
      <c r="E79" s="56" t="s">
        <v>163</v>
      </c>
      <c r="F79" s="56" t="s">
        <v>65</v>
      </c>
      <c r="H79" s="56" t="s">
        <v>259</v>
      </c>
      <c r="I79" s="56" t="s">
        <v>164</v>
      </c>
      <c r="K79">
        <v>-54.543796539306598</v>
      </c>
      <c r="L79">
        <v>-51</v>
      </c>
    </row>
    <row r="80" spans="1:12">
      <c r="A80" s="66">
        <v>46036</v>
      </c>
      <c r="B80" s="56" t="s">
        <v>44</v>
      </c>
      <c r="C80" s="56">
        <v>64058</v>
      </c>
      <c r="D80">
        <v>1599</v>
      </c>
      <c r="E80" s="56" t="s">
        <v>165</v>
      </c>
      <c r="F80" s="56" t="s">
        <v>65</v>
      </c>
      <c r="H80" s="56" t="s">
        <v>259</v>
      </c>
      <c r="I80" s="56" t="s">
        <v>166</v>
      </c>
      <c r="K80">
        <v>-53.101951599121001</v>
      </c>
      <c r="L80">
        <v>-55</v>
      </c>
    </row>
    <row r="81" spans="1:12">
      <c r="A81" s="67">
        <v>46036</v>
      </c>
      <c r="B81" s="57" t="s">
        <v>44</v>
      </c>
      <c r="C81" s="57">
        <v>64058</v>
      </c>
      <c r="D81">
        <v>1600</v>
      </c>
      <c r="E81" s="57" t="s">
        <v>167</v>
      </c>
      <c r="F81" s="57" t="s">
        <v>65</v>
      </c>
      <c r="H81" s="57" t="s">
        <v>259</v>
      </c>
      <c r="I81" s="57" t="s">
        <v>168</v>
      </c>
      <c r="K81">
        <v>-56.820335388183501</v>
      </c>
      <c r="L81">
        <v>-55</v>
      </c>
    </row>
    <row r="82" spans="1:12">
      <c r="A82" s="66">
        <v>46037</v>
      </c>
      <c r="B82" s="56" t="s">
        <v>158</v>
      </c>
      <c r="C82" s="56">
        <v>64067</v>
      </c>
      <c r="D82">
        <v>1601</v>
      </c>
      <c r="E82" s="56"/>
      <c r="F82" s="56" t="s">
        <v>46</v>
      </c>
      <c r="H82" s="56" t="s">
        <v>259</v>
      </c>
      <c r="I82" s="56"/>
      <c r="K82">
        <v>-46.768840789794901</v>
      </c>
      <c r="L82">
        <v>-46</v>
      </c>
    </row>
    <row r="83" spans="1:12">
      <c r="A83" s="67">
        <v>46037</v>
      </c>
      <c r="B83" s="57" t="s">
        <v>69</v>
      </c>
      <c r="C83" s="57">
        <v>64067</v>
      </c>
      <c r="D83">
        <v>1602</v>
      </c>
      <c r="E83" s="57" t="s">
        <v>93</v>
      </c>
      <c r="F83" s="57" t="s">
        <v>46</v>
      </c>
      <c r="H83" s="57" t="s">
        <v>259</v>
      </c>
      <c r="I83" s="57" t="s">
        <v>169</v>
      </c>
      <c r="K83">
        <v>-50.656150817871001</v>
      </c>
      <c r="L83">
        <v>-55</v>
      </c>
    </row>
    <row r="84" spans="1:12">
      <c r="A84" s="66">
        <v>46037</v>
      </c>
      <c r="B84" s="56" t="s">
        <v>69</v>
      </c>
      <c r="C84" s="56">
        <v>64068</v>
      </c>
      <c r="D84">
        <v>1603</v>
      </c>
      <c r="E84" s="56" t="s">
        <v>170</v>
      </c>
      <c r="F84" s="56" t="s">
        <v>46</v>
      </c>
      <c r="H84" s="56" t="s">
        <v>258</v>
      </c>
      <c r="I84" s="56" t="s">
        <v>171</v>
      </c>
      <c r="K84">
        <v>-56.823486328125</v>
      </c>
      <c r="L84">
        <v>-56</v>
      </c>
    </row>
    <row r="85" spans="1:12">
      <c r="A85" s="67">
        <v>46037</v>
      </c>
      <c r="B85" s="57" t="s">
        <v>69</v>
      </c>
      <c r="C85" s="57">
        <v>64068</v>
      </c>
      <c r="D85">
        <v>1604</v>
      </c>
      <c r="E85" s="57" t="s">
        <v>172</v>
      </c>
      <c r="F85" s="57" t="s">
        <v>46</v>
      </c>
      <c r="H85" s="57" t="s">
        <v>258</v>
      </c>
      <c r="I85" s="57" t="s">
        <v>173</v>
      </c>
      <c r="K85">
        <v>-64.210624694824205</v>
      </c>
      <c r="L85">
        <v>-64</v>
      </c>
    </row>
    <row r="86" spans="1:12">
      <c r="A86" s="66">
        <v>46038</v>
      </c>
      <c r="B86" s="56" t="s">
        <v>90</v>
      </c>
      <c r="C86" s="56">
        <v>64061</v>
      </c>
      <c r="D86">
        <v>1605</v>
      </c>
      <c r="E86" s="56" t="s">
        <v>174</v>
      </c>
      <c r="F86" s="56" t="s">
        <v>65</v>
      </c>
      <c r="H86" s="56" t="s">
        <v>258</v>
      </c>
      <c r="I86" s="56" t="s">
        <v>175</v>
      </c>
      <c r="K86">
        <v>-48.331615447997997</v>
      </c>
      <c r="L86">
        <v>-52</v>
      </c>
    </row>
    <row r="87" spans="1:12">
      <c r="A87" s="66">
        <v>46038</v>
      </c>
      <c r="B87" s="56" t="s">
        <v>44</v>
      </c>
      <c r="C87" s="56">
        <v>64061</v>
      </c>
      <c r="D87">
        <v>1606</v>
      </c>
      <c r="E87" s="56" t="s">
        <v>176</v>
      </c>
      <c r="F87" s="56" t="s">
        <v>65</v>
      </c>
      <c r="H87" s="56" t="s">
        <v>258</v>
      </c>
      <c r="I87" s="56" t="s">
        <v>151</v>
      </c>
      <c r="K87">
        <v>-63.840225219726499</v>
      </c>
      <c r="L87">
        <v>-63</v>
      </c>
    </row>
    <row r="88" spans="1:12">
      <c r="A88" s="67">
        <v>46038</v>
      </c>
      <c r="B88" s="57" t="s">
        <v>90</v>
      </c>
      <c r="C88" s="57">
        <v>64061</v>
      </c>
      <c r="D88">
        <v>1607</v>
      </c>
      <c r="E88" s="57" t="s">
        <v>177</v>
      </c>
      <c r="F88" s="57" t="s">
        <v>65</v>
      </c>
      <c r="H88" s="57" t="s">
        <v>258</v>
      </c>
      <c r="I88" s="57"/>
      <c r="K88">
        <v>-52.298427581787102</v>
      </c>
      <c r="L88">
        <v>-52</v>
      </c>
    </row>
    <row r="89" spans="1:12">
      <c r="A89" s="66">
        <v>46038</v>
      </c>
      <c r="B89" s="56" t="s">
        <v>90</v>
      </c>
      <c r="C89" s="56">
        <v>64062</v>
      </c>
      <c r="D89">
        <v>1608</v>
      </c>
      <c r="E89" s="56" t="s">
        <v>178</v>
      </c>
      <c r="F89" s="56" t="s">
        <v>65</v>
      </c>
      <c r="H89" s="56" t="s">
        <v>258</v>
      </c>
      <c r="I89" s="56"/>
      <c r="K89">
        <v>-50.391456604003899</v>
      </c>
      <c r="L89">
        <v>-48</v>
      </c>
    </row>
    <row r="90" spans="1:12">
      <c r="A90" s="66">
        <v>46038</v>
      </c>
      <c r="B90" s="56" t="s">
        <v>44</v>
      </c>
      <c r="C90" s="56">
        <v>64062</v>
      </c>
      <c r="D90">
        <v>1609</v>
      </c>
      <c r="E90" s="56" t="s">
        <v>142</v>
      </c>
      <c r="F90" s="56" t="s">
        <v>65</v>
      </c>
      <c r="H90" s="56" t="s">
        <v>259</v>
      </c>
      <c r="I90" s="56"/>
      <c r="K90">
        <v>-72.028877258300696</v>
      </c>
      <c r="L90">
        <v>-72</v>
      </c>
    </row>
    <row r="91" spans="1:12">
      <c r="A91" s="67">
        <v>46038</v>
      </c>
      <c r="B91" s="57" t="s">
        <v>90</v>
      </c>
      <c r="C91" s="57">
        <v>64062</v>
      </c>
      <c r="D91" s="19">
        <v>1610</v>
      </c>
      <c r="E91" s="57" t="s">
        <v>179</v>
      </c>
      <c r="F91" s="57" t="s">
        <v>65</v>
      </c>
      <c r="H91" s="57" t="s">
        <v>259</v>
      </c>
      <c r="I91" s="57"/>
      <c r="K91">
        <v>-42.759971618652301</v>
      </c>
      <c r="L91">
        <v>-48</v>
      </c>
    </row>
    <row r="92" spans="1:12">
      <c r="A92" s="67">
        <v>46038</v>
      </c>
      <c r="B92" s="57" t="s">
        <v>158</v>
      </c>
      <c r="C92" s="57">
        <v>64061</v>
      </c>
      <c r="D92" s="19">
        <v>1611</v>
      </c>
      <c r="E92" s="57"/>
      <c r="F92" s="57" t="s">
        <v>65</v>
      </c>
      <c r="H92" s="57" t="s">
        <v>258</v>
      </c>
      <c r="I92" s="57"/>
      <c r="K92">
        <v>-32.371604919433501</v>
      </c>
      <c r="L92">
        <v>-33</v>
      </c>
    </row>
    <row r="93" spans="1:12">
      <c r="A93" s="66">
        <v>46038</v>
      </c>
      <c r="B93" s="56" t="s">
        <v>90</v>
      </c>
      <c r="C93" s="56">
        <v>64062</v>
      </c>
      <c r="D93" s="19">
        <v>1612</v>
      </c>
      <c r="E93" s="56" t="s">
        <v>181</v>
      </c>
      <c r="F93" s="56" t="s">
        <v>65</v>
      </c>
      <c r="H93" s="56" t="s">
        <v>259</v>
      </c>
      <c r="I93" s="56"/>
      <c r="K93">
        <v>-58.576389312744098</v>
      </c>
      <c r="L93">
        <v>-58</v>
      </c>
    </row>
    <row r="94" spans="1:12">
      <c r="A94" s="67">
        <v>46038</v>
      </c>
      <c r="B94" s="57" t="s">
        <v>44</v>
      </c>
      <c r="C94" s="57">
        <v>64062</v>
      </c>
      <c r="D94" s="19">
        <v>1613</v>
      </c>
      <c r="E94" s="57"/>
      <c r="F94" s="57" t="s">
        <v>65</v>
      </c>
      <c r="H94" s="57" t="s">
        <v>259</v>
      </c>
      <c r="I94" s="57" t="s">
        <v>182</v>
      </c>
      <c r="K94">
        <v>-68.518562316894503</v>
      </c>
      <c r="L94">
        <v>-68</v>
      </c>
    </row>
    <row r="95" spans="1:12">
      <c r="A95" s="66">
        <v>46042</v>
      </c>
      <c r="B95" s="56" t="s">
        <v>69</v>
      </c>
      <c r="C95" s="56">
        <v>64069</v>
      </c>
      <c r="D95" s="19">
        <v>1614</v>
      </c>
      <c r="E95" s="56" t="s">
        <v>140</v>
      </c>
      <c r="F95" s="56" t="s">
        <v>46</v>
      </c>
      <c r="H95" s="56" t="s">
        <v>259</v>
      </c>
      <c r="I95" s="56" t="s">
        <v>183</v>
      </c>
      <c r="K95">
        <v>-62.954383850097599</v>
      </c>
      <c r="L95">
        <v>-60</v>
      </c>
    </row>
    <row r="96" spans="1:12">
      <c r="A96" s="66">
        <v>46042</v>
      </c>
      <c r="B96" s="56" t="s">
        <v>90</v>
      </c>
      <c r="C96" s="56">
        <v>64069</v>
      </c>
      <c r="D96">
        <v>1615</v>
      </c>
      <c r="E96" s="56" t="s">
        <v>140</v>
      </c>
      <c r="F96" s="56" t="s">
        <v>46</v>
      </c>
      <c r="H96" s="56" t="s">
        <v>259</v>
      </c>
      <c r="I96" s="56"/>
      <c r="K96">
        <v>-63.8934516906738</v>
      </c>
      <c r="L96">
        <v>-65</v>
      </c>
    </row>
    <row r="97" spans="1:16">
      <c r="A97" s="66">
        <v>46042</v>
      </c>
      <c r="B97" s="56" t="s">
        <v>90</v>
      </c>
      <c r="C97" s="56">
        <v>64069</v>
      </c>
      <c r="D97">
        <v>1616</v>
      </c>
      <c r="E97" s="56" t="s">
        <v>142</v>
      </c>
      <c r="F97" s="56" t="s">
        <v>46</v>
      </c>
      <c r="H97" s="56" t="s">
        <v>259</v>
      </c>
      <c r="I97" s="56"/>
      <c r="K97">
        <v>-49.843479156494098</v>
      </c>
      <c r="L97">
        <v>-50</v>
      </c>
    </row>
    <row r="98" spans="1:16">
      <c r="A98" s="67">
        <v>46042</v>
      </c>
      <c r="B98" s="68" t="s">
        <v>90</v>
      </c>
      <c r="C98" s="57">
        <v>64069</v>
      </c>
      <c r="D98" s="19">
        <v>1617</v>
      </c>
      <c r="E98" s="57" t="s">
        <v>148</v>
      </c>
      <c r="F98" s="57" t="s">
        <v>46</v>
      </c>
      <c r="H98" s="57" t="s">
        <v>259</v>
      </c>
      <c r="I98" s="57"/>
      <c r="K98">
        <v>-58.5554389953613</v>
      </c>
      <c r="L98">
        <v>-57</v>
      </c>
    </row>
    <row r="99" spans="1:16">
      <c r="A99" s="66">
        <v>46042</v>
      </c>
      <c r="B99" s="56" t="s">
        <v>90</v>
      </c>
      <c r="C99" s="56">
        <v>64070</v>
      </c>
      <c r="D99" s="19">
        <v>1618</v>
      </c>
      <c r="E99" s="56" t="s">
        <v>184</v>
      </c>
      <c r="F99" s="56" t="s">
        <v>46</v>
      </c>
      <c r="H99" s="56" t="s">
        <v>258</v>
      </c>
      <c r="I99" s="56" t="s">
        <v>185</v>
      </c>
      <c r="K99">
        <v>-44.8644409179687</v>
      </c>
      <c r="L99">
        <v>-44</v>
      </c>
    </row>
    <row r="100" spans="1:16">
      <c r="A100" s="67">
        <v>46042</v>
      </c>
      <c r="B100" s="57" t="s">
        <v>90</v>
      </c>
      <c r="C100" s="57">
        <v>64070</v>
      </c>
      <c r="D100">
        <v>1619</v>
      </c>
      <c r="E100" s="57" t="s">
        <v>186</v>
      </c>
      <c r="F100" s="57" t="s">
        <v>46</v>
      </c>
      <c r="H100" s="57" t="s">
        <v>258</v>
      </c>
      <c r="I100" s="57" t="s">
        <v>187</v>
      </c>
      <c r="K100">
        <v>-65.512504577636705</v>
      </c>
      <c r="L100">
        <v>-66</v>
      </c>
      <c r="P100" s="50">
        <v>1532</v>
      </c>
    </row>
    <row r="101" spans="1:16">
      <c r="A101" s="66">
        <v>46043</v>
      </c>
      <c r="B101" s="56" t="s">
        <v>90</v>
      </c>
      <c r="C101" s="56">
        <v>64290</v>
      </c>
      <c r="D101">
        <v>1620</v>
      </c>
      <c r="E101" s="56" t="s">
        <v>188</v>
      </c>
      <c r="F101" s="56" t="s">
        <v>46</v>
      </c>
      <c r="H101" s="56" t="s">
        <v>258</v>
      </c>
      <c r="I101" s="56"/>
      <c r="K101">
        <v>-58.751480102538999</v>
      </c>
      <c r="L101">
        <v>-60</v>
      </c>
      <c r="P101" s="74">
        <v>1534</v>
      </c>
    </row>
    <row r="102" spans="1:16">
      <c r="A102" s="66">
        <v>46043</v>
      </c>
      <c r="B102" s="56" t="s">
        <v>44</v>
      </c>
      <c r="C102" s="56">
        <v>64290</v>
      </c>
      <c r="D102">
        <v>1621</v>
      </c>
      <c r="E102" s="56" t="s">
        <v>189</v>
      </c>
      <c r="F102" s="56" t="s">
        <v>46</v>
      </c>
      <c r="H102" s="56" t="s">
        <v>258</v>
      </c>
      <c r="I102" s="56" t="s">
        <v>190</v>
      </c>
      <c r="K102">
        <v>-66.391418457031193</v>
      </c>
      <c r="L102">
        <v>-65</v>
      </c>
      <c r="P102" s="50">
        <v>1537</v>
      </c>
    </row>
    <row r="103" spans="1:16">
      <c r="A103" s="66">
        <v>46043</v>
      </c>
      <c r="B103" s="56" t="s">
        <v>90</v>
      </c>
      <c r="C103" s="56">
        <v>64290</v>
      </c>
      <c r="D103" s="19">
        <v>1622</v>
      </c>
      <c r="E103" s="56" t="s">
        <v>191</v>
      </c>
      <c r="F103" s="56" t="s">
        <v>46</v>
      </c>
      <c r="H103" s="56" t="s">
        <v>258</v>
      </c>
      <c r="I103" s="56"/>
      <c r="K103">
        <v>-54.505142211913999</v>
      </c>
      <c r="L103">
        <v>-55</v>
      </c>
      <c r="P103" s="75">
        <v>1540</v>
      </c>
    </row>
    <row r="104" spans="1:16">
      <c r="A104" s="66">
        <v>46043</v>
      </c>
      <c r="B104" s="56" t="s">
        <v>44</v>
      </c>
      <c r="C104" s="56">
        <v>64290</v>
      </c>
      <c r="D104">
        <v>1623</v>
      </c>
      <c r="E104" s="56" t="s">
        <v>107</v>
      </c>
      <c r="F104" s="56" t="s">
        <v>46</v>
      </c>
      <c r="H104" s="56" t="s">
        <v>258</v>
      </c>
      <c r="I104" s="56" t="s">
        <v>192</v>
      </c>
      <c r="K104">
        <v>-54.362438201904197</v>
      </c>
      <c r="L104">
        <v>-54</v>
      </c>
      <c r="P104" s="50">
        <v>1541</v>
      </c>
    </row>
    <row r="105" spans="1:16">
      <c r="A105" s="67">
        <v>46043</v>
      </c>
      <c r="B105" s="57" t="s">
        <v>44</v>
      </c>
      <c r="C105" s="57">
        <v>64290</v>
      </c>
      <c r="D105">
        <v>1624</v>
      </c>
      <c r="E105" s="57" t="s">
        <v>116</v>
      </c>
      <c r="F105" s="57" t="s">
        <v>46</v>
      </c>
      <c r="H105" s="57" t="s">
        <v>258</v>
      </c>
      <c r="I105" s="57" t="s">
        <v>193</v>
      </c>
      <c r="K105">
        <v>-63.032741546630803</v>
      </c>
      <c r="L105">
        <v>-62</v>
      </c>
      <c r="P105" s="75">
        <v>1542</v>
      </c>
    </row>
    <row r="106" spans="1:16">
      <c r="A106" s="66">
        <v>46043</v>
      </c>
      <c r="B106" s="56" t="s">
        <v>90</v>
      </c>
      <c r="C106" s="56">
        <v>64291</v>
      </c>
      <c r="D106" s="19">
        <v>1625</v>
      </c>
      <c r="E106" s="56" t="s">
        <v>194</v>
      </c>
      <c r="F106" s="56" t="s">
        <v>46</v>
      </c>
      <c r="H106" s="56" t="s">
        <v>259</v>
      </c>
      <c r="I106" s="56"/>
      <c r="K106">
        <v>-56.06494140625</v>
      </c>
      <c r="L106">
        <v>-55</v>
      </c>
      <c r="P106" s="50">
        <v>1544</v>
      </c>
    </row>
    <row r="107" spans="1:16">
      <c r="A107" s="66">
        <v>46043</v>
      </c>
      <c r="B107" s="56" t="s">
        <v>44</v>
      </c>
      <c r="C107" s="56">
        <v>64291</v>
      </c>
      <c r="D107">
        <v>1626</v>
      </c>
      <c r="E107" s="56" t="s">
        <v>117</v>
      </c>
      <c r="F107" s="56" t="s">
        <v>46</v>
      </c>
      <c r="H107" s="56" t="s">
        <v>259</v>
      </c>
      <c r="I107" s="56" t="s">
        <v>195</v>
      </c>
      <c r="K107">
        <v>-60.579170227050703</v>
      </c>
      <c r="L107">
        <v>-60</v>
      </c>
      <c r="P107" s="75">
        <v>1546</v>
      </c>
    </row>
    <row r="108" spans="1:16">
      <c r="A108" s="67">
        <v>46043</v>
      </c>
      <c r="B108" s="57" t="s">
        <v>90</v>
      </c>
      <c r="C108" s="57">
        <v>64291</v>
      </c>
      <c r="D108">
        <v>1627</v>
      </c>
      <c r="E108" s="57" t="s">
        <v>196</v>
      </c>
      <c r="F108" s="57" t="s">
        <v>46</v>
      </c>
      <c r="H108" s="57" t="s">
        <v>259</v>
      </c>
      <c r="I108" s="57"/>
      <c r="K108">
        <v>-53.412986755371001</v>
      </c>
      <c r="L108">
        <v>-55</v>
      </c>
      <c r="P108" s="50">
        <v>1547</v>
      </c>
    </row>
    <row r="109" spans="1:16">
      <c r="A109" s="66">
        <v>46044</v>
      </c>
      <c r="B109" s="56" t="s">
        <v>44</v>
      </c>
      <c r="C109" s="56">
        <v>64282</v>
      </c>
      <c r="D109">
        <v>1628</v>
      </c>
      <c r="E109" s="56" t="s">
        <v>197</v>
      </c>
      <c r="F109" s="56" t="s">
        <v>65</v>
      </c>
      <c r="H109" s="56" t="s">
        <v>259</v>
      </c>
      <c r="I109" s="56" t="s">
        <v>198</v>
      </c>
      <c r="K109">
        <v>-49.193038940429602</v>
      </c>
      <c r="L109">
        <v>-70</v>
      </c>
      <c r="P109" s="50">
        <v>1548</v>
      </c>
    </row>
    <row r="110" spans="1:16">
      <c r="A110" s="67">
        <v>46044</v>
      </c>
      <c r="B110" s="57" t="s">
        <v>90</v>
      </c>
      <c r="C110" s="57">
        <v>64282</v>
      </c>
      <c r="D110" s="19">
        <v>1629</v>
      </c>
      <c r="E110" s="57" t="s">
        <v>199</v>
      </c>
      <c r="F110" s="57" t="s">
        <v>65</v>
      </c>
      <c r="H110" s="57" t="s">
        <v>259</v>
      </c>
      <c r="I110" s="57"/>
      <c r="K110">
        <v>-44.540599822997997</v>
      </c>
      <c r="L110">
        <v>-48</v>
      </c>
      <c r="P110" s="74">
        <v>1552</v>
      </c>
    </row>
    <row r="111" spans="1:16">
      <c r="A111" s="66">
        <v>46044</v>
      </c>
      <c r="B111" s="56" t="s">
        <v>90</v>
      </c>
      <c r="C111" s="56">
        <v>64283</v>
      </c>
      <c r="D111">
        <v>1630</v>
      </c>
      <c r="E111" s="56" t="s">
        <v>201</v>
      </c>
      <c r="F111" s="56" t="s">
        <v>65</v>
      </c>
      <c r="H111" s="56" t="s">
        <v>258</v>
      </c>
      <c r="I111" s="56" t="s">
        <v>202</v>
      </c>
      <c r="K111">
        <v>-63.050346374511697</v>
      </c>
      <c r="L111">
        <v>-62</v>
      </c>
      <c r="P111" s="76">
        <v>1582</v>
      </c>
    </row>
    <row r="112" spans="1:16">
      <c r="A112" s="66">
        <v>46044</v>
      </c>
      <c r="B112" s="69" t="s">
        <v>69</v>
      </c>
      <c r="C112" s="56">
        <v>64283</v>
      </c>
      <c r="D112">
        <v>1631</v>
      </c>
      <c r="E112" s="56" t="s">
        <v>203</v>
      </c>
      <c r="F112" s="56" t="s">
        <v>65</v>
      </c>
      <c r="H112" s="56" t="s">
        <v>258</v>
      </c>
      <c r="I112" s="56" t="s">
        <v>204</v>
      </c>
      <c r="K112">
        <v>-57.842502593994098</v>
      </c>
      <c r="L112">
        <v>-58</v>
      </c>
      <c r="P112" s="64">
        <v>1588</v>
      </c>
    </row>
    <row r="113" spans="1:16">
      <c r="A113" s="67">
        <v>46044</v>
      </c>
      <c r="B113" s="57" t="s">
        <v>90</v>
      </c>
      <c r="C113" s="57">
        <v>64283</v>
      </c>
      <c r="D113">
        <v>1632</v>
      </c>
      <c r="E113" s="57" t="s">
        <v>205</v>
      </c>
      <c r="F113" s="57" t="s">
        <v>65</v>
      </c>
      <c r="H113" s="57" t="s">
        <v>258</v>
      </c>
      <c r="I113" s="57" t="s">
        <v>206</v>
      </c>
      <c r="K113">
        <v>-56.790985107421797</v>
      </c>
      <c r="L113">
        <v>-54</v>
      </c>
      <c r="P113" s="64">
        <v>1589</v>
      </c>
    </row>
    <row r="114" spans="1:16">
      <c r="A114" s="67">
        <v>46045</v>
      </c>
      <c r="B114" s="57" t="s">
        <v>69</v>
      </c>
      <c r="C114" s="57">
        <v>64292</v>
      </c>
      <c r="D114" s="19">
        <v>1633</v>
      </c>
      <c r="E114" s="57" t="s">
        <v>207</v>
      </c>
      <c r="F114" s="57" t="s">
        <v>46</v>
      </c>
      <c r="H114" s="57" t="s">
        <v>259</v>
      </c>
      <c r="I114" s="57" t="s">
        <v>208</v>
      </c>
      <c r="K114">
        <v>-55.921451568603501</v>
      </c>
      <c r="L114">
        <v>-62</v>
      </c>
      <c r="P114" s="68">
        <v>1617</v>
      </c>
    </row>
    <row r="115" spans="1:16">
      <c r="A115" s="66">
        <v>46045</v>
      </c>
      <c r="B115" s="56" t="s">
        <v>90</v>
      </c>
      <c r="C115" s="56">
        <v>64293</v>
      </c>
      <c r="D115">
        <v>1634</v>
      </c>
      <c r="E115" s="56" t="s">
        <v>210</v>
      </c>
      <c r="F115" s="56" t="s">
        <v>46</v>
      </c>
      <c r="H115" s="56" t="s">
        <v>258</v>
      </c>
      <c r="I115" s="56"/>
      <c r="K115">
        <v>-61.653293609619098</v>
      </c>
      <c r="L115">
        <v>-62</v>
      </c>
      <c r="P115" s="69">
        <v>1622</v>
      </c>
    </row>
    <row r="116" spans="1:16">
      <c r="A116" s="67">
        <v>46045</v>
      </c>
      <c r="B116" s="57" t="s">
        <v>90</v>
      </c>
      <c r="C116" s="57">
        <v>64293</v>
      </c>
      <c r="D116">
        <v>1635</v>
      </c>
      <c r="E116" s="57" t="s">
        <v>211</v>
      </c>
      <c r="F116" s="57" t="s">
        <v>46</v>
      </c>
      <c r="H116" s="57" t="s">
        <v>258</v>
      </c>
      <c r="I116" s="57" t="s">
        <v>212</v>
      </c>
      <c r="K116">
        <v>-48.439945220947202</v>
      </c>
      <c r="L116">
        <v>-49</v>
      </c>
      <c r="P116" s="69">
        <v>1625</v>
      </c>
    </row>
    <row r="117" spans="1:16">
      <c r="A117" s="66">
        <v>46049</v>
      </c>
      <c r="B117" s="56" t="s">
        <v>90</v>
      </c>
      <c r="C117" s="56">
        <v>64284</v>
      </c>
      <c r="D117">
        <v>1636</v>
      </c>
      <c r="E117" s="56" t="s">
        <v>140</v>
      </c>
      <c r="F117" s="56" t="s">
        <v>65</v>
      </c>
      <c r="H117" s="56" t="s">
        <v>259</v>
      </c>
      <c r="I117" s="56"/>
      <c r="K117">
        <v>-59.348384857177699</v>
      </c>
      <c r="L117">
        <v>-60</v>
      </c>
      <c r="P117" s="68">
        <v>1633</v>
      </c>
    </row>
    <row r="118" spans="1:16">
      <c r="A118" s="66">
        <v>46049</v>
      </c>
      <c r="B118" s="56" t="s">
        <v>90</v>
      </c>
      <c r="C118" s="56">
        <v>64284</v>
      </c>
      <c r="D118">
        <v>1637</v>
      </c>
      <c r="E118" s="56" t="s">
        <v>142</v>
      </c>
      <c r="F118" s="56" t="s">
        <v>65</v>
      </c>
      <c r="H118" s="56" t="s">
        <v>259</v>
      </c>
      <c r="I118" s="56" t="s">
        <v>213</v>
      </c>
      <c r="K118">
        <v>-46.150630950927699</v>
      </c>
      <c r="L118">
        <v>-45</v>
      </c>
    </row>
    <row r="119" spans="1:16">
      <c r="A119" s="66">
        <v>46049</v>
      </c>
      <c r="B119" s="56" t="s">
        <v>90</v>
      </c>
      <c r="C119" s="56">
        <v>64284</v>
      </c>
      <c r="D119">
        <v>1638</v>
      </c>
      <c r="E119" s="56" t="s">
        <v>214</v>
      </c>
      <c r="F119" s="56" t="s">
        <v>65</v>
      </c>
      <c r="H119" s="56" t="s">
        <v>259</v>
      </c>
      <c r="I119" s="56" t="s">
        <v>215</v>
      </c>
      <c r="K119">
        <v>-46.913002014160099</v>
      </c>
      <c r="L119">
        <v>-48</v>
      </c>
    </row>
    <row r="120" spans="1:16">
      <c r="A120" s="67">
        <v>46049</v>
      </c>
      <c r="B120" s="57" t="s">
        <v>44</v>
      </c>
      <c r="C120" s="57">
        <v>64284</v>
      </c>
      <c r="D120">
        <v>1639</v>
      </c>
      <c r="E120" s="57" t="s">
        <v>216</v>
      </c>
      <c r="F120" s="57" t="s">
        <v>65</v>
      </c>
      <c r="H120" s="57" t="s">
        <v>259</v>
      </c>
      <c r="I120" s="57" t="s">
        <v>217</v>
      </c>
      <c r="K120">
        <v>-62.5686836242675</v>
      </c>
      <c r="L120">
        <v>-63</v>
      </c>
    </row>
    <row r="121" spans="1:16">
      <c r="A121" s="67">
        <v>46049</v>
      </c>
      <c r="B121" s="57" t="s">
        <v>90</v>
      </c>
      <c r="C121" s="57">
        <v>64285</v>
      </c>
      <c r="D121">
        <v>1640</v>
      </c>
      <c r="E121" s="57" t="s">
        <v>218</v>
      </c>
      <c r="F121" s="57" t="s">
        <v>65</v>
      </c>
      <c r="H121" s="57" t="s">
        <v>258</v>
      </c>
      <c r="I121" s="57" t="s">
        <v>219</v>
      </c>
      <c r="K121">
        <v>-55.062831878662102</v>
      </c>
      <c r="L121">
        <v>-55</v>
      </c>
    </row>
    <row r="122" spans="1:16">
      <c r="A122" s="67">
        <v>46049</v>
      </c>
      <c r="B122" s="57" t="s">
        <v>44</v>
      </c>
      <c r="C122" s="57">
        <v>64284</v>
      </c>
      <c r="D122">
        <v>1641</v>
      </c>
      <c r="E122" s="57" t="s">
        <v>95</v>
      </c>
      <c r="F122" s="57" t="s">
        <v>65</v>
      </c>
      <c r="H122" s="57" t="s">
        <v>259</v>
      </c>
      <c r="I122" s="57"/>
      <c r="K122">
        <v>-59.510650634765597</v>
      </c>
      <c r="L122">
        <v>-63</v>
      </c>
    </row>
    <row r="123" spans="1:16">
      <c r="A123" s="66">
        <v>46049</v>
      </c>
      <c r="B123" s="56" t="s">
        <v>90</v>
      </c>
      <c r="C123" s="56">
        <v>64285</v>
      </c>
      <c r="D123" s="19">
        <v>1642</v>
      </c>
      <c r="E123" s="56" t="s">
        <v>220</v>
      </c>
      <c r="F123" s="56" t="s">
        <v>65</v>
      </c>
      <c r="H123" s="56" t="s">
        <v>258</v>
      </c>
      <c r="I123" s="56"/>
      <c r="K123">
        <v>-35.671073913574197</v>
      </c>
      <c r="L123">
        <v>-40</v>
      </c>
    </row>
    <row r="124" spans="1:16">
      <c r="A124" s="66">
        <v>46049</v>
      </c>
      <c r="B124" s="56" t="s">
        <v>44</v>
      </c>
      <c r="C124" s="56">
        <v>64285</v>
      </c>
      <c r="D124" s="19">
        <v>1643</v>
      </c>
      <c r="E124" s="56" t="s">
        <v>144</v>
      </c>
      <c r="F124" s="56" t="s">
        <v>65</v>
      </c>
      <c r="H124" s="56" t="s">
        <v>258</v>
      </c>
      <c r="I124" s="56"/>
      <c r="K124">
        <v>-43.294689178466697</v>
      </c>
      <c r="L124">
        <v>-42</v>
      </c>
    </row>
    <row r="125" spans="1:16">
      <c r="A125" s="67">
        <v>46049</v>
      </c>
      <c r="B125" s="57" t="s">
        <v>44</v>
      </c>
      <c r="C125" s="57">
        <v>64285</v>
      </c>
      <c r="D125" s="19">
        <v>1644</v>
      </c>
      <c r="E125" s="57" t="s">
        <v>221</v>
      </c>
      <c r="F125" s="57" t="s">
        <v>65</v>
      </c>
      <c r="H125" s="57" t="s">
        <v>258</v>
      </c>
      <c r="I125" s="57" t="s">
        <v>222</v>
      </c>
      <c r="K125">
        <v>-52.001129150390597</v>
      </c>
      <c r="L125">
        <v>-53</v>
      </c>
    </row>
    <row r="126" spans="1:16">
      <c r="A126" s="66">
        <v>46050</v>
      </c>
      <c r="B126" s="56" t="s">
        <v>44</v>
      </c>
      <c r="C126" s="56">
        <v>64286</v>
      </c>
      <c r="D126">
        <v>1645</v>
      </c>
      <c r="E126" s="56" t="s">
        <v>223</v>
      </c>
      <c r="F126" s="56" t="s">
        <v>65</v>
      </c>
      <c r="H126" s="56" t="s">
        <v>258</v>
      </c>
      <c r="I126" s="56" t="s">
        <v>224</v>
      </c>
      <c r="K126">
        <v>-65.760696411132798</v>
      </c>
      <c r="L126">
        <v>-64</v>
      </c>
    </row>
    <row r="127" spans="1:16">
      <c r="A127" s="66">
        <v>46050</v>
      </c>
      <c r="B127" s="56" t="s">
        <v>90</v>
      </c>
      <c r="C127" s="56">
        <v>64286</v>
      </c>
      <c r="D127" s="19">
        <v>1646</v>
      </c>
      <c r="E127" s="56" t="s">
        <v>140</v>
      </c>
      <c r="F127" s="56" t="s">
        <v>65</v>
      </c>
      <c r="H127" s="56" t="s">
        <v>258</v>
      </c>
      <c r="I127" s="56"/>
      <c r="K127">
        <v>-41.70552444458</v>
      </c>
      <c r="L127">
        <v>-42</v>
      </c>
    </row>
    <row r="128" spans="1:16">
      <c r="A128" s="66">
        <v>46050</v>
      </c>
      <c r="B128" s="56" t="s">
        <v>44</v>
      </c>
      <c r="C128" s="56">
        <v>64286</v>
      </c>
      <c r="D128">
        <v>1647</v>
      </c>
      <c r="E128" s="56" t="s">
        <v>107</v>
      </c>
      <c r="F128" s="56" t="s">
        <v>65</v>
      </c>
      <c r="H128" s="56" t="s">
        <v>258</v>
      </c>
      <c r="I128" s="56" t="s">
        <v>225</v>
      </c>
      <c r="K128">
        <v>-51.032943725585902</v>
      </c>
      <c r="L128">
        <v>-46</v>
      </c>
    </row>
    <row r="129" spans="1:12">
      <c r="A129" s="66">
        <v>46050</v>
      </c>
      <c r="B129" s="56" t="s">
        <v>44</v>
      </c>
      <c r="C129" s="56">
        <v>64286</v>
      </c>
      <c r="D129">
        <v>1648</v>
      </c>
      <c r="E129" s="56" t="s">
        <v>116</v>
      </c>
      <c r="F129" s="56" t="s">
        <v>65</v>
      </c>
      <c r="H129" s="56" t="s">
        <v>258</v>
      </c>
      <c r="I129" s="56" t="s">
        <v>226</v>
      </c>
      <c r="K129">
        <v>-67.968276977539006</v>
      </c>
      <c r="L129">
        <v>-67</v>
      </c>
    </row>
    <row r="130" spans="1:12">
      <c r="A130" s="67">
        <v>46050</v>
      </c>
      <c r="B130" s="57" t="s">
        <v>90</v>
      </c>
      <c r="C130" s="57">
        <v>64286</v>
      </c>
      <c r="D130">
        <v>1649</v>
      </c>
      <c r="E130" s="57" t="s">
        <v>124</v>
      </c>
      <c r="F130" s="57" t="s">
        <v>65</v>
      </c>
      <c r="H130" s="57" t="s">
        <v>258</v>
      </c>
      <c r="I130" s="57" t="s">
        <v>227</v>
      </c>
      <c r="K130">
        <v>-70.144447326660099</v>
      </c>
      <c r="L130">
        <v>-69</v>
      </c>
    </row>
    <row r="131" spans="1:12">
      <c r="A131" s="66">
        <v>46050</v>
      </c>
      <c r="B131" s="56" t="s">
        <v>90</v>
      </c>
      <c r="C131" s="56">
        <v>64287</v>
      </c>
      <c r="D131">
        <v>1650</v>
      </c>
      <c r="E131" s="56" t="s">
        <v>126</v>
      </c>
      <c r="F131" s="56" t="s">
        <v>65</v>
      </c>
      <c r="H131" s="56" t="s">
        <v>259</v>
      </c>
      <c r="I131" s="56"/>
      <c r="K131">
        <v>-61.528457641601499</v>
      </c>
      <c r="L131">
        <v>-59</v>
      </c>
    </row>
    <row r="132" spans="1:12">
      <c r="A132" s="67">
        <v>46050</v>
      </c>
      <c r="B132" s="57" t="s">
        <v>90</v>
      </c>
      <c r="C132" s="57">
        <v>64287</v>
      </c>
      <c r="D132">
        <v>1651</v>
      </c>
      <c r="E132" s="57" t="s">
        <v>145</v>
      </c>
      <c r="F132" s="57" t="s">
        <v>65</v>
      </c>
      <c r="H132" s="57" t="s">
        <v>259</v>
      </c>
      <c r="I132" s="57" t="s">
        <v>228</v>
      </c>
      <c r="K132">
        <v>-49.950035095214801</v>
      </c>
      <c r="L132">
        <v>-51</v>
      </c>
    </row>
    <row r="133" spans="1:12">
      <c r="A133" s="66">
        <v>46051</v>
      </c>
      <c r="B133" s="56" t="s">
        <v>90</v>
      </c>
      <c r="C133" s="56">
        <v>64278</v>
      </c>
      <c r="D133">
        <v>1652</v>
      </c>
      <c r="E133" s="56" t="s">
        <v>140</v>
      </c>
      <c r="F133" s="56" t="s">
        <v>46</v>
      </c>
      <c r="H133" s="56" t="s">
        <v>259</v>
      </c>
      <c r="I133" s="56"/>
      <c r="K133">
        <v>-54.407905578613203</v>
      </c>
      <c r="L133">
        <v>-53</v>
      </c>
    </row>
    <row r="134" spans="1:12">
      <c r="A134" s="66">
        <v>46051</v>
      </c>
      <c r="B134" s="56" t="s">
        <v>90</v>
      </c>
      <c r="C134" s="56">
        <v>64278</v>
      </c>
      <c r="D134">
        <v>1653</v>
      </c>
      <c r="E134" s="56" t="s">
        <v>142</v>
      </c>
      <c r="F134" s="56" t="s">
        <v>46</v>
      </c>
      <c r="H134" s="56" t="s">
        <v>259</v>
      </c>
      <c r="I134" s="56" t="s">
        <v>229</v>
      </c>
      <c r="K134">
        <v>-66.101127624511705</v>
      </c>
      <c r="L134">
        <v>-65</v>
      </c>
    </row>
    <row r="135" spans="1:12">
      <c r="A135" s="66">
        <v>46051</v>
      </c>
      <c r="B135" s="56" t="s">
        <v>90</v>
      </c>
      <c r="C135" s="56">
        <v>64278</v>
      </c>
      <c r="D135" s="19">
        <v>1654</v>
      </c>
      <c r="E135" s="56" t="s">
        <v>184</v>
      </c>
      <c r="F135" s="56" t="s">
        <v>46</v>
      </c>
      <c r="H135" s="56" t="s">
        <v>259</v>
      </c>
      <c r="I135" s="56"/>
      <c r="K135">
        <v>-58.486507415771399</v>
      </c>
      <c r="L135">
        <v>-57</v>
      </c>
    </row>
    <row r="136" spans="1:12">
      <c r="A136" s="67">
        <v>46051</v>
      </c>
      <c r="B136" s="57" t="s">
        <v>158</v>
      </c>
      <c r="C136" s="57">
        <v>64278</v>
      </c>
      <c r="D136">
        <v>1655</v>
      </c>
      <c r="E136" s="57" t="s">
        <v>230</v>
      </c>
      <c r="F136" s="57" t="s">
        <v>46</v>
      </c>
      <c r="H136" s="57" t="s">
        <v>259</v>
      </c>
      <c r="I136" s="57"/>
      <c r="K136">
        <v>-64.014640808105398</v>
      </c>
      <c r="L136">
        <v>-63</v>
      </c>
    </row>
    <row r="137" spans="1:12">
      <c r="A137" s="66">
        <v>46051</v>
      </c>
      <c r="B137" s="56" t="s">
        <v>90</v>
      </c>
      <c r="C137" s="56">
        <v>64279</v>
      </c>
      <c r="D137">
        <v>1656</v>
      </c>
      <c r="E137" s="56" t="s">
        <v>231</v>
      </c>
      <c r="F137" s="56" t="s">
        <v>46</v>
      </c>
      <c r="H137" s="56" t="s">
        <v>259</v>
      </c>
      <c r="I137" s="56" t="s">
        <v>232</v>
      </c>
      <c r="K137">
        <v>-46.791053771972599</v>
      </c>
      <c r="L137">
        <v>-47</v>
      </c>
    </row>
    <row r="138" spans="1:12">
      <c r="A138" s="66">
        <v>46051</v>
      </c>
      <c r="B138" s="56" t="s">
        <v>90</v>
      </c>
      <c r="C138" s="56">
        <v>64279</v>
      </c>
      <c r="D138">
        <v>1657</v>
      </c>
      <c r="E138" s="56" t="s">
        <v>233</v>
      </c>
      <c r="F138" s="56" t="s">
        <v>46</v>
      </c>
      <c r="H138" s="56" t="s">
        <v>258</v>
      </c>
      <c r="I138" s="56" t="s">
        <v>234</v>
      </c>
      <c r="K138">
        <v>-42.653202056884702</v>
      </c>
      <c r="L138">
        <v>-45</v>
      </c>
    </row>
    <row r="139" spans="1:12">
      <c r="A139" s="66">
        <v>46051</v>
      </c>
      <c r="B139" s="56" t="s">
        <v>158</v>
      </c>
      <c r="C139" s="56">
        <v>64279</v>
      </c>
      <c r="D139" s="19">
        <v>1658</v>
      </c>
      <c r="E139" s="56" t="s">
        <v>145</v>
      </c>
      <c r="F139" s="56" t="s">
        <v>46</v>
      </c>
      <c r="H139" s="56" t="s">
        <v>258</v>
      </c>
      <c r="I139" s="56" t="s">
        <v>235</v>
      </c>
      <c r="K139">
        <v>-54.012496948242102</v>
      </c>
      <c r="L139">
        <v>-55</v>
      </c>
    </row>
    <row r="140" spans="1:12">
      <c r="A140" s="67">
        <v>46051</v>
      </c>
      <c r="B140" s="57" t="s">
        <v>90</v>
      </c>
      <c r="C140" s="57">
        <v>64279</v>
      </c>
      <c r="D140">
        <v>1659</v>
      </c>
      <c r="E140" s="57" t="s">
        <v>236</v>
      </c>
      <c r="F140" s="57" t="s">
        <v>46</v>
      </c>
      <c r="H140" s="57" t="s">
        <v>258</v>
      </c>
      <c r="I140" s="57"/>
      <c r="K140">
        <v>-65.361076354980398</v>
      </c>
      <c r="L140">
        <v>-65</v>
      </c>
    </row>
    <row r="141" spans="1:12">
      <c r="A141" s="66">
        <v>46052</v>
      </c>
      <c r="B141" s="56" t="s">
        <v>90</v>
      </c>
      <c r="C141" s="56">
        <v>64288</v>
      </c>
      <c r="D141" s="19">
        <v>1660</v>
      </c>
      <c r="E141" s="56" t="s">
        <v>91</v>
      </c>
      <c r="F141" s="56" t="s">
        <v>65</v>
      </c>
      <c r="H141" s="56" t="s">
        <v>258</v>
      </c>
      <c r="I141" s="56"/>
      <c r="K141">
        <v>-38.593875885009702</v>
      </c>
      <c r="L141">
        <v>-40</v>
      </c>
    </row>
    <row r="142" spans="1:12">
      <c r="A142" s="66">
        <v>46052</v>
      </c>
      <c r="B142" s="56" t="s">
        <v>90</v>
      </c>
      <c r="C142" s="56">
        <v>64288</v>
      </c>
      <c r="D142" s="19">
        <v>1661</v>
      </c>
      <c r="E142" s="56" t="s">
        <v>237</v>
      </c>
      <c r="F142" s="56" t="s">
        <v>65</v>
      </c>
      <c r="H142" s="56" t="s">
        <v>258</v>
      </c>
      <c r="I142" s="56"/>
      <c r="K142">
        <v>-40.035453796386697</v>
      </c>
      <c r="L142">
        <v>-40</v>
      </c>
    </row>
    <row r="143" spans="1:12">
      <c r="A143" s="67">
        <v>46052</v>
      </c>
      <c r="B143" s="57" t="s">
        <v>90</v>
      </c>
      <c r="C143" s="57">
        <v>64288</v>
      </c>
      <c r="D143">
        <v>1662</v>
      </c>
      <c r="E143" s="57" t="s">
        <v>238</v>
      </c>
      <c r="F143" s="57" t="s">
        <v>65</v>
      </c>
      <c r="H143" s="57" t="s">
        <v>258</v>
      </c>
      <c r="I143" s="57" t="s">
        <v>239</v>
      </c>
      <c r="K143">
        <v>-65.941017150878906</v>
      </c>
      <c r="L143">
        <v>-65</v>
      </c>
    </row>
    <row r="144" spans="1:12">
      <c r="A144" s="66">
        <v>46052</v>
      </c>
      <c r="B144" s="56" t="s">
        <v>90</v>
      </c>
      <c r="C144" s="56">
        <v>64289</v>
      </c>
      <c r="D144" s="19">
        <v>1663</v>
      </c>
      <c r="E144" s="56" t="s">
        <v>240</v>
      </c>
      <c r="F144" s="56" t="s">
        <v>65</v>
      </c>
      <c r="H144" s="56" t="s">
        <v>259</v>
      </c>
      <c r="I144" s="56" t="s">
        <v>241</v>
      </c>
      <c r="K144">
        <v>-43.6491889953613</v>
      </c>
      <c r="L144">
        <v>-44</v>
      </c>
    </row>
    <row r="145" spans="1:12">
      <c r="A145" s="66">
        <v>46052</v>
      </c>
      <c r="B145" s="56" t="s">
        <v>90</v>
      </c>
      <c r="C145" s="56">
        <v>64289</v>
      </c>
      <c r="D145">
        <v>1664</v>
      </c>
      <c r="E145" s="56" t="s">
        <v>167</v>
      </c>
      <c r="F145" s="56" t="s">
        <v>65</v>
      </c>
      <c r="H145" s="56" t="s">
        <v>259</v>
      </c>
      <c r="I145" s="56" t="s">
        <v>243</v>
      </c>
      <c r="K145">
        <v>-66.467376708984304</v>
      </c>
      <c r="L145">
        <v>-67</v>
      </c>
    </row>
    <row r="146" spans="1:12">
      <c r="A146" s="67">
        <v>46052</v>
      </c>
      <c r="B146" s="57" t="s">
        <v>90</v>
      </c>
      <c r="C146" s="57">
        <v>64289</v>
      </c>
      <c r="D146" s="19">
        <v>1665</v>
      </c>
      <c r="E146" s="57" t="s">
        <v>244</v>
      </c>
      <c r="F146" s="57" t="s">
        <v>65</v>
      </c>
      <c r="H146" s="57" t="s">
        <v>259</v>
      </c>
      <c r="I146" s="57"/>
      <c r="K146">
        <v>-79.676071166992102</v>
      </c>
      <c r="L146">
        <v>-79</v>
      </c>
    </row>
    <row r="147" spans="1:12">
      <c r="A147" s="2">
        <v>46057</v>
      </c>
      <c r="B147" t="s">
        <v>44</v>
      </c>
      <c r="C147">
        <v>64280</v>
      </c>
      <c r="D147">
        <v>1666</v>
      </c>
      <c r="E147" t="s">
        <v>140</v>
      </c>
      <c r="F147" s="72" t="s">
        <v>46</v>
      </c>
      <c r="H147" s="72" t="s">
        <v>258</v>
      </c>
      <c r="I147" t="s">
        <v>246</v>
      </c>
      <c r="K147">
        <v>-57.932613372802699</v>
      </c>
      <c r="L147">
        <v>-61</v>
      </c>
    </row>
    <row r="148" spans="1:12">
      <c r="A148" s="2">
        <v>46057</v>
      </c>
      <c r="B148" t="s">
        <v>44</v>
      </c>
      <c r="C148">
        <v>64280</v>
      </c>
      <c r="D148">
        <v>1667</v>
      </c>
      <c r="E148" t="s">
        <v>82</v>
      </c>
      <c r="F148" t="s">
        <v>46</v>
      </c>
      <c r="H148" t="s">
        <v>258</v>
      </c>
      <c r="I148" t="s">
        <v>247</v>
      </c>
      <c r="K148">
        <v>-58.647514343261697</v>
      </c>
      <c r="L148">
        <v>-56</v>
      </c>
    </row>
    <row r="149" spans="1:12">
      <c r="A149" s="2">
        <v>46057</v>
      </c>
      <c r="B149" t="s">
        <v>90</v>
      </c>
      <c r="C149">
        <v>64280</v>
      </c>
      <c r="D149">
        <v>1668</v>
      </c>
      <c r="E149" t="s">
        <v>140</v>
      </c>
      <c r="F149" t="s">
        <v>46</v>
      </c>
      <c r="H149" t="s">
        <v>258</v>
      </c>
      <c r="I149" t="s">
        <v>248</v>
      </c>
      <c r="K149">
        <v>-44.309524536132798</v>
      </c>
      <c r="L149">
        <v>-55</v>
      </c>
    </row>
    <row r="150" spans="1:12">
      <c r="A150" s="2">
        <v>46057</v>
      </c>
      <c r="B150" t="s">
        <v>90</v>
      </c>
      <c r="C150">
        <v>64280</v>
      </c>
      <c r="D150">
        <v>1669</v>
      </c>
      <c r="E150" t="s">
        <v>142</v>
      </c>
      <c r="F150" t="s">
        <v>46</v>
      </c>
      <c r="H150" t="s">
        <v>258</v>
      </c>
      <c r="K150">
        <v>-42.784996032714801</v>
      </c>
      <c r="L150">
        <v>-48</v>
      </c>
    </row>
    <row r="151" spans="1:12">
      <c r="A151" s="2">
        <v>46057</v>
      </c>
      <c r="B151" t="s">
        <v>90</v>
      </c>
      <c r="C151">
        <v>64281</v>
      </c>
      <c r="D151">
        <v>1670</v>
      </c>
      <c r="E151" t="s">
        <v>194</v>
      </c>
      <c r="F151" t="s">
        <v>46</v>
      </c>
      <c r="H151" t="s">
        <v>259</v>
      </c>
      <c r="I151" t="s">
        <v>249</v>
      </c>
      <c r="K151">
        <v>-59.094211578369098</v>
      </c>
      <c r="L151">
        <v>-64</v>
      </c>
    </row>
    <row r="152" spans="1:12">
      <c r="A152" s="2">
        <v>46057</v>
      </c>
      <c r="B152" t="s">
        <v>44</v>
      </c>
      <c r="C152">
        <v>64281</v>
      </c>
      <c r="D152">
        <v>1671</v>
      </c>
      <c r="E152" t="s">
        <v>184</v>
      </c>
      <c r="F152" t="s">
        <v>46</v>
      </c>
      <c r="H152" t="s">
        <v>259</v>
      </c>
      <c r="K152">
        <v>-63.285205841064403</v>
      </c>
      <c r="L152">
        <v>-67</v>
      </c>
    </row>
    <row r="153" spans="1:12">
      <c r="A153" s="2">
        <v>46057</v>
      </c>
      <c r="B153" t="s">
        <v>44</v>
      </c>
      <c r="C153">
        <v>64281</v>
      </c>
      <c r="D153">
        <v>1672</v>
      </c>
      <c r="E153" t="s">
        <v>250</v>
      </c>
      <c r="F153" t="s">
        <v>46</v>
      </c>
      <c r="H153" t="s">
        <v>259</v>
      </c>
      <c r="I153" t="s">
        <v>252</v>
      </c>
      <c r="K153">
        <v>-61.388134002685497</v>
      </c>
      <c r="L153">
        <v>-57</v>
      </c>
    </row>
    <row r="154" spans="1:12">
      <c r="A154" s="2">
        <v>46057</v>
      </c>
      <c r="B154" t="s">
        <v>90</v>
      </c>
      <c r="C154">
        <v>64281</v>
      </c>
      <c r="D154">
        <v>1673</v>
      </c>
      <c r="E154" t="s">
        <v>251</v>
      </c>
      <c r="F154" t="s">
        <v>46</v>
      </c>
      <c r="H154" t="s">
        <v>259</v>
      </c>
      <c r="I154" t="s">
        <v>254</v>
      </c>
      <c r="K154">
        <v>-51.921733856201101</v>
      </c>
      <c r="L154">
        <v>-61</v>
      </c>
    </row>
    <row r="155" spans="1:12">
      <c r="A155" s="2">
        <v>46057</v>
      </c>
      <c r="B155" t="s">
        <v>44</v>
      </c>
      <c r="C155">
        <v>64281</v>
      </c>
      <c r="D155">
        <v>1674</v>
      </c>
      <c r="E155" t="s">
        <v>253</v>
      </c>
      <c r="F155" t="s">
        <v>46</v>
      </c>
      <c r="H155" t="s">
        <v>259</v>
      </c>
      <c r="I155" t="s">
        <v>256</v>
      </c>
      <c r="K155">
        <v>-55.707653045654197</v>
      </c>
      <c r="L155">
        <v>-51</v>
      </c>
    </row>
    <row r="156" spans="1:12">
      <c r="A156" s="2">
        <v>46057</v>
      </c>
      <c r="B156" t="s">
        <v>90</v>
      </c>
      <c r="C156">
        <v>64281</v>
      </c>
      <c r="D156">
        <v>1675</v>
      </c>
      <c r="E156" t="s">
        <v>255</v>
      </c>
      <c r="F156" t="s">
        <v>46</v>
      </c>
      <c r="H156" t="s">
        <v>259</v>
      </c>
      <c r="K156">
        <v>-64.436790466308494</v>
      </c>
      <c r="L156">
        <v>-56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27C4-590D-4B80-AD9B-76189D5D6CA3}">
  <sheetPr>
    <tabColor rgb="FFF584ED"/>
  </sheetPr>
  <dimension ref="A1:N156"/>
  <sheetViews>
    <sheetView workbookViewId="0">
      <selection activeCell="O80" sqref="O80"/>
    </sheetView>
  </sheetViews>
  <sheetFormatPr defaultRowHeight="15"/>
  <cols>
    <col min="1" max="1" width="11.42578125" bestFit="1" customWidth="1"/>
    <col min="2" max="2" width="16" bestFit="1" customWidth="1"/>
    <col min="5" max="5" width="21" bestFit="1" customWidth="1"/>
    <col min="13" max="13" width="14.7109375" bestFit="1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260</v>
      </c>
      <c r="L1" s="1" t="s">
        <v>261</v>
      </c>
      <c r="M1" s="1" t="s">
        <v>262</v>
      </c>
    </row>
    <row r="2" spans="1:13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H2" t="s">
        <v>48</v>
      </c>
      <c r="I2" t="s">
        <v>49</v>
      </c>
      <c r="K2">
        <v>-31.43310546875</v>
      </c>
      <c r="L2">
        <v>184.9365234375</v>
      </c>
    </row>
    <row r="3" spans="1:13">
      <c r="A3" s="2">
        <v>45979</v>
      </c>
      <c r="B3" t="s">
        <v>44</v>
      </c>
      <c r="C3">
        <v>63562</v>
      </c>
      <c r="D3">
        <v>1521</v>
      </c>
      <c r="E3" t="s">
        <v>51</v>
      </c>
      <c r="F3" t="s">
        <v>46</v>
      </c>
      <c r="H3" t="s">
        <v>48</v>
      </c>
      <c r="I3" t="s">
        <v>52</v>
      </c>
      <c r="K3">
        <v>-34.912109375</v>
      </c>
      <c r="L3">
        <v>200.8056640625</v>
      </c>
    </row>
    <row r="4" spans="1:13">
      <c r="A4" s="2">
        <v>45979</v>
      </c>
      <c r="B4" t="s">
        <v>44</v>
      </c>
      <c r="C4">
        <v>63563</v>
      </c>
      <c r="D4">
        <v>1522</v>
      </c>
      <c r="E4" t="s">
        <v>53</v>
      </c>
      <c r="F4" t="s">
        <v>46</v>
      </c>
      <c r="H4" t="s">
        <v>54</v>
      </c>
      <c r="I4" t="s">
        <v>55</v>
      </c>
      <c r="K4">
        <v>-28.25927734375</v>
      </c>
      <c r="L4">
        <v>239.2578125</v>
      </c>
    </row>
    <row r="5" spans="1:13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H5" t="s">
        <v>54</v>
      </c>
      <c r="I5" t="s">
        <v>58</v>
      </c>
      <c r="K5">
        <v>-39.55078125</v>
      </c>
      <c r="L5">
        <v>87.2802734375</v>
      </c>
    </row>
    <row r="6" spans="1:13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H6" t="s">
        <v>54</v>
      </c>
      <c r="I6" t="s">
        <v>61</v>
      </c>
      <c r="K6">
        <v>-34.423828125</v>
      </c>
      <c r="L6">
        <v>172.119140625</v>
      </c>
    </row>
    <row r="7" spans="1:13">
      <c r="A7" s="2">
        <v>45980</v>
      </c>
      <c r="B7" t="s">
        <v>44</v>
      </c>
      <c r="C7">
        <v>63564</v>
      </c>
      <c r="D7">
        <v>1525</v>
      </c>
      <c r="E7" t="s">
        <v>62</v>
      </c>
      <c r="F7" t="s">
        <v>46</v>
      </c>
      <c r="H7" t="s">
        <v>54</v>
      </c>
      <c r="K7">
        <v>-43.45703125</v>
      </c>
      <c r="L7">
        <v>79.9560546875</v>
      </c>
    </row>
    <row r="8" spans="1:13">
      <c r="A8" s="2">
        <v>45980</v>
      </c>
      <c r="B8" t="s">
        <v>44</v>
      </c>
      <c r="C8">
        <v>63565</v>
      </c>
      <c r="D8">
        <v>1526</v>
      </c>
      <c r="E8" t="s">
        <v>63</v>
      </c>
      <c r="F8" t="s">
        <v>46</v>
      </c>
      <c r="H8" t="s">
        <v>48</v>
      </c>
      <c r="K8">
        <v>-39.764404296875</v>
      </c>
      <c r="L8">
        <v>66.5283203125</v>
      </c>
    </row>
    <row r="9" spans="1:13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H9" t="s">
        <v>48</v>
      </c>
      <c r="K9">
        <v>-39.154052734375</v>
      </c>
      <c r="L9">
        <v>203.2470703125</v>
      </c>
    </row>
    <row r="10" spans="1:13">
      <c r="A10" s="2">
        <v>45981</v>
      </c>
      <c r="B10" t="s">
        <v>44</v>
      </c>
      <c r="C10">
        <v>63552</v>
      </c>
      <c r="D10">
        <v>1528</v>
      </c>
      <c r="E10" t="s">
        <v>51</v>
      </c>
      <c r="F10" t="s">
        <v>65</v>
      </c>
      <c r="H10" t="s">
        <v>48</v>
      </c>
      <c r="I10" t="s">
        <v>66</v>
      </c>
      <c r="K10">
        <v>-35.858154296875</v>
      </c>
      <c r="L10">
        <v>148.92578125</v>
      </c>
    </row>
    <row r="11" spans="1:13">
      <c r="A11" s="2">
        <v>45981</v>
      </c>
      <c r="B11" t="s">
        <v>44</v>
      </c>
      <c r="C11">
        <v>63553</v>
      </c>
      <c r="D11">
        <v>1529</v>
      </c>
      <c r="E11" t="s">
        <v>53</v>
      </c>
      <c r="F11" t="s">
        <v>65</v>
      </c>
      <c r="H11" t="s">
        <v>54</v>
      </c>
      <c r="I11" t="s">
        <v>67</v>
      </c>
      <c r="K11">
        <v>-33.447265625</v>
      </c>
      <c r="L11">
        <v>156.8603515625</v>
      </c>
    </row>
    <row r="12" spans="1:13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H12" t="s">
        <v>54</v>
      </c>
      <c r="K12">
        <v>-30.57861328125</v>
      </c>
      <c r="L12">
        <v>197.75390625</v>
      </c>
    </row>
    <row r="13" spans="1:13">
      <c r="A13" s="2">
        <v>45985</v>
      </c>
      <c r="B13" t="s">
        <v>69</v>
      </c>
      <c r="C13">
        <v>63550</v>
      </c>
      <c r="D13">
        <v>1531</v>
      </c>
      <c r="E13" t="s">
        <v>68</v>
      </c>
      <c r="F13" t="s">
        <v>65</v>
      </c>
      <c r="H13" t="s">
        <v>54</v>
      </c>
      <c r="K13">
        <v>-29.23583984375</v>
      </c>
      <c r="L13">
        <v>83.6181640625</v>
      </c>
    </row>
    <row r="14" spans="1:13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H14" t="s">
        <v>54</v>
      </c>
      <c r="I14" t="s">
        <v>73</v>
      </c>
      <c r="K14">
        <v>-37.78076171875</v>
      </c>
      <c r="L14">
        <v>117.1875</v>
      </c>
    </row>
    <row r="15" spans="1:13">
      <c r="A15" s="2">
        <v>45985</v>
      </c>
      <c r="B15" t="s">
        <v>69</v>
      </c>
      <c r="C15">
        <v>63550</v>
      </c>
      <c r="D15">
        <v>1533</v>
      </c>
      <c r="E15" t="s">
        <v>74</v>
      </c>
      <c r="F15" t="s">
        <v>65</v>
      </c>
      <c r="H15" t="s">
        <v>54</v>
      </c>
      <c r="K15">
        <v>-38.4521484375</v>
      </c>
      <c r="L15">
        <v>63.4765625</v>
      </c>
    </row>
    <row r="16" spans="1:13">
      <c r="A16" s="2">
        <v>45985</v>
      </c>
      <c r="B16" t="s">
        <v>44</v>
      </c>
      <c r="C16">
        <v>63551</v>
      </c>
      <c r="D16">
        <v>1534</v>
      </c>
      <c r="E16" t="s">
        <v>76</v>
      </c>
      <c r="F16" t="s">
        <v>65</v>
      </c>
      <c r="H16" t="s">
        <v>48</v>
      </c>
      <c r="I16" t="s">
        <v>77</v>
      </c>
      <c r="K16">
        <v>-29.1748046875</v>
      </c>
      <c r="L16">
        <v>261.8408203125</v>
      </c>
    </row>
    <row r="17" spans="1:12">
      <c r="A17" s="2">
        <v>46000</v>
      </c>
      <c r="B17" t="s">
        <v>69</v>
      </c>
      <c r="C17">
        <v>63542</v>
      </c>
      <c r="D17">
        <v>1536</v>
      </c>
      <c r="E17" t="s">
        <v>78</v>
      </c>
      <c r="F17" t="s">
        <v>65</v>
      </c>
      <c r="H17" t="s">
        <v>48</v>
      </c>
      <c r="I17" t="s">
        <v>79</v>
      </c>
      <c r="K17">
        <v>-43.76220703125</v>
      </c>
      <c r="L17">
        <v>130.615234375</v>
      </c>
    </row>
    <row r="18" spans="1:12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H18" t="s">
        <v>54</v>
      </c>
      <c r="I18" t="s">
        <v>81</v>
      </c>
      <c r="K18">
        <v>-28.167724609375</v>
      </c>
      <c r="L18">
        <v>433.9599609375</v>
      </c>
    </row>
    <row r="19" spans="1:12">
      <c r="A19" s="2">
        <v>46000</v>
      </c>
      <c r="B19" t="s">
        <v>69</v>
      </c>
      <c r="C19">
        <v>63543</v>
      </c>
      <c r="D19">
        <v>1538</v>
      </c>
      <c r="E19" t="s">
        <v>82</v>
      </c>
      <c r="F19" t="s">
        <v>65</v>
      </c>
      <c r="H19" t="s">
        <v>54</v>
      </c>
      <c r="I19" t="s">
        <v>83</v>
      </c>
      <c r="K19">
        <v>-44.5556640625</v>
      </c>
      <c r="L19">
        <v>150.146484375</v>
      </c>
    </row>
    <row r="20" spans="1:12">
      <c r="A20" s="2">
        <v>46000</v>
      </c>
      <c r="B20" t="s">
        <v>44</v>
      </c>
      <c r="C20">
        <v>63543</v>
      </c>
      <c r="D20">
        <v>1539</v>
      </c>
      <c r="E20" t="s">
        <v>84</v>
      </c>
      <c r="F20" t="s">
        <v>65</v>
      </c>
      <c r="H20" t="s">
        <v>54</v>
      </c>
      <c r="I20" t="s">
        <v>85</v>
      </c>
      <c r="K20">
        <v>-41.50390625</v>
      </c>
      <c r="L20">
        <v>133.056640625</v>
      </c>
    </row>
    <row r="21" spans="1:12">
      <c r="A21" s="2">
        <v>46001</v>
      </c>
      <c r="B21" t="s">
        <v>69</v>
      </c>
      <c r="C21">
        <v>63558</v>
      </c>
      <c r="D21">
        <v>1540</v>
      </c>
      <c r="E21" t="s">
        <v>86</v>
      </c>
      <c r="F21" t="s">
        <v>46</v>
      </c>
      <c r="H21" t="s">
        <v>54</v>
      </c>
      <c r="K21">
        <v>-21.30126953125</v>
      </c>
      <c r="L21">
        <v>209.3505859375</v>
      </c>
    </row>
    <row r="22" spans="1:12">
      <c r="A22" s="2">
        <v>46001</v>
      </c>
      <c r="B22" t="s">
        <v>69</v>
      </c>
      <c r="C22">
        <v>63559</v>
      </c>
      <c r="D22">
        <v>1541</v>
      </c>
      <c r="E22" t="s">
        <v>87</v>
      </c>
      <c r="F22" t="s">
        <v>46</v>
      </c>
      <c r="H22" t="s">
        <v>48</v>
      </c>
      <c r="I22" t="s">
        <v>88</v>
      </c>
      <c r="K22">
        <v>-41.290283203125</v>
      </c>
      <c r="L22">
        <v>338.7451171875</v>
      </c>
    </row>
    <row r="23" spans="1:12">
      <c r="A23" s="2">
        <v>46001</v>
      </c>
      <c r="B23" t="s">
        <v>90</v>
      </c>
      <c r="C23">
        <v>63559</v>
      </c>
      <c r="D23">
        <v>1542</v>
      </c>
      <c r="E23" t="s">
        <v>91</v>
      </c>
      <c r="F23" t="s">
        <v>46</v>
      </c>
      <c r="H23" t="s">
        <v>48</v>
      </c>
      <c r="K23" s="4"/>
      <c r="L23" s="4"/>
    </row>
    <row r="24" spans="1:12">
      <c r="A24" s="2">
        <v>46002</v>
      </c>
      <c r="B24" t="s">
        <v>69</v>
      </c>
      <c r="C24">
        <v>63560</v>
      </c>
      <c r="D24">
        <v>1543</v>
      </c>
      <c r="E24" t="s">
        <v>93</v>
      </c>
      <c r="F24" t="s">
        <v>46</v>
      </c>
      <c r="H24" t="s">
        <v>54</v>
      </c>
      <c r="I24" t="s">
        <v>94</v>
      </c>
      <c r="K24">
        <v>-33.782958984375</v>
      </c>
      <c r="L24">
        <v>191.0400390625</v>
      </c>
    </row>
    <row r="25" spans="1:12">
      <c r="A25" s="2">
        <v>46002</v>
      </c>
      <c r="B25" t="s">
        <v>69</v>
      </c>
      <c r="C25">
        <v>63561</v>
      </c>
      <c r="D25">
        <v>1544</v>
      </c>
      <c r="E25" t="s">
        <v>95</v>
      </c>
      <c r="F25" t="s">
        <v>46</v>
      </c>
      <c r="H25" t="s">
        <v>48</v>
      </c>
      <c r="I25" t="s">
        <v>96</v>
      </c>
      <c r="K25">
        <v>-34.36279296875</v>
      </c>
      <c r="L25">
        <v>155.029296875</v>
      </c>
    </row>
    <row r="26" spans="1:12">
      <c r="A26" s="2">
        <v>46002</v>
      </c>
      <c r="B26" t="s">
        <v>44</v>
      </c>
      <c r="C26">
        <v>63561</v>
      </c>
      <c r="D26">
        <v>1545</v>
      </c>
      <c r="E26" t="s">
        <v>97</v>
      </c>
      <c r="F26" t="s">
        <v>46</v>
      </c>
      <c r="H26" t="s">
        <v>48</v>
      </c>
      <c r="K26">
        <v>-53.466796875</v>
      </c>
      <c r="L26">
        <v>43.3349609375</v>
      </c>
    </row>
    <row r="27" spans="1:12">
      <c r="A27" s="2">
        <v>46002</v>
      </c>
      <c r="B27" t="s">
        <v>90</v>
      </c>
      <c r="C27">
        <v>63560</v>
      </c>
      <c r="D27">
        <v>1546</v>
      </c>
      <c r="F27" t="s">
        <v>46</v>
      </c>
      <c r="H27" t="s">
        <v>48</v>
      </c>
      <c r="K27" s="4"/>
      <c r="L27" s="4"/>
    </row>
    <row r="28" spans="1:12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H28" t="s">
        <v>54</v>
      </c>
      <c r="I28" t="s">
        <v>100</v>
      </c>
      <c r="K28">
        <v>-34.7900390625</v>
      </c>
      <c r="L28">
        <v>207.51953125</v>
      </c>
    </row>
    <row r="29" spans="1:12">
      <c r="A29" s="2">
        <v>46003</v>
      </c>
      <c r="B29" t="s">
        <v>101</v>
      </c>
      <c r="C29">
        <v>63544</v>
      </c>
      <c r="D29">
        <v>1548</v>
      </c>
      <c r="E29" t="s">
        <v>102</v>
      </c>
      <c r="F29" t="s">
        <v>65</v>
      </c>
      <c r="H29" t="s">
        <v>54</v>
      </c>
      <c r="I29" t="s">
        <v>103</v>
      </c>
      <c r="K29">
        <v>-42.96875</v>
      </c>
      <c r="L29">
        <v>48.828125</v>
      </c>
    </row>
    <row r="30" spans="1:12">
      <c r="A30" s="2">
        <v>46003</v>
      </c>
      <c r="B30" t="s">
        <v>90</v>
      </c>
      <c r="C30">
        <v>63544</v>
      </c>
      <c r="D30">
        <v>1549</v>
      </c>
      <c r="E30" t="s">
        <v>104</v>
      </c>
      <c r="F30" t="s">
        <v>65</v>
      </c>
      <c r="H30" t="s">
        <v>54</v>
      </c>
      <c r="K30">
        <v>-35.369873046875</v>
      </c>
      <c r="L30">
        <v>119.0185546875</v>
      </c>
    </row>
    <row r="31" spans="1:12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H31" t="s">
        <v>48</v>
      </c>
      <c r="I31" t="s">
        <v>106</v>
      </c>
      <c r="K31">
        <v>-30.2734375</v>
      </c>
      <c r="L31">
        <v>140.380859375</v>
      </c>
    </row>
    <row r="32" spans="1:12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H32" t="s">
        <v>108</v>
      </c>
      <c r="I32" t="s">
        <v>109</v>
      </c>
      <c r="K32">
        <v>-41.168212890625</v>
      </c>
      <c r="L32">
        <v>105.5908203125</v>
      </c>
    </row>
    <row r="33" spans="1:12">
      <c r="A33" s="2">
        <v>46003</v>
      </c>
      <c r="B33" t="s">
        <v>90</v>
      </c>
      <c r="C33">
        <v>63545</v>
      </c>
      <c r="D33">
        <v>1552</v>
      </c>
      <c r="E33" t="s">
        <v>110</v>
      </c>
      <c r="F33" t="s">
        <v>65</v>
      </c>
      <c r="H33" t="s">
        <v>48</v>
      </c>
      <c r="K33">
        <v>-34.515380859375</v>
      </c>
      <c r="L33">
        <v>224.609375</v>
      </c>
    </row>
    <row r="34" spans="1:12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H34" t="s">
        <v>48</v>
      </c>
      <c r="K34">
        <v>-33.966064453125</v>
      </c>
      <c r="L34">
        <v>134.8876953125</v>
      </c>
    </row>
    <row r="35" spans="1:12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H35" t="s">
        <v>48</v>
      </c>
      <c r="K35">
        <v>-32.012939453125</v>
      </c>
      <c r="L35">
        <v>139.16015625</v>
      </c>
    </row>
    <row r="36" spans="1:12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H36" t="s">
        <v>48</v>
      </c>
      <c r="I36" t="s">
        <v>112</v>
      </c>
      <c r="K36">
        <v>-50.6591796875</v>
      </c>
      <c r="L36">
        <v>37.841796875</v>
      </c>
    </row>
    <row r="37" spans="1:12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H37" t="s">
        <v>48</v>
      </c>
      <c r="K37">
        <v>-38.6962890625</v>
      </c>
      <c r="L37">
        <v>123.291015625</v>
      </c>
    </row>
    <row r="38" spans="1:12">
      <c r="A38" s="2">
        <v>46007</v>
      </c>
      <c r="B38" t="s">
        <v>90</v>
      </c>
      <c r="C38">
        <v>63549</v>
      </c>
      <c r="D38">
        <v>1557</v>
      </c>
      <c r="E38" t="s">
        <v>114</v>
      </c>
      <c r="F38" t="s">
        <v>65</v>
      </c>
      <c r="H38" t="s">
        <v>48</v>
      </c>
      <c r="I38" t="s">
        <v>115</v>
      </c>
      <c r="K38">
        <v>-43.121337890625</v>
      </c>
      <c r="L38">
        <v>150.146484375</v>
      </c>
    </row>
    <row r="39" spans="1:12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H39" t="s">
        <v>54</v>
      </c>
      <c r="K39">
        <v>-44.25048828125</v>
      </c>
      <c r="L39">
        <v>67.138671875</v>
      </c>
    </row>
    <row r="40" spans="1:12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H40" t="s">
        <v>54</v>
      </c>
      <c r="K40">
        <v>-44.769287109375</v>
      </c>
      <c r="L40">
        <v>139.16015625</v>
      </c>
    </row>
    <row r="41" spans="1:12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H41" t="s">
        <v>54</v>
      </c>
      <c r="I41" t="s">
        <v>119</v>
      </c>
      <c r="K41">
        <v>-43.853759765625</v>
      </c>
      <c r="L41">
        <v>132.4462890625</v>
      </c>
    </row>
    <row r="42" spans="1:12">
      <c r="A42" s="2">
        <v>46007</v>
      </c>
      <c r="B42" t="s">
        <v>90</v>
      </c>
      <c r="C42">
        <v>63546</v>
      </c>
      <c r="D42">
        <v>1561</v>
      </c>
      <c r="E42" t="s">
        <v>120</v>
      </c>
      <c r="F42" t="s">
        <v>65</v>
      </c>
      <c r="H42" t="s">
        <v>54</v>
      </c>
      <c r="I42" t="s">
        <v>121</v>
      </c>
      <c r="K42">
        <v>-29.541015625</v>
      </c>
      <c r="L42">
        <v>477.9052734375</v>
      </c>
    </row>
    <row r="43" spans="1:12">
      <c r="A43" s="2">
        <v>46008</v>
      </c>
      <c r="B43" t="s">
        <v>90</v>
      </c>
      <c r="C43">
        <v>63554</v>
      </c>
      <c r="D43">
        <v>1562</v>
      </c>
      <c r="E43" t="s">
        <v>91</v>
      </c>
      <c r="F43" t="s">
        <v>46</v>
      </c>
      <c r="H43" t="s">
        <v>54</v>
      </c>
      <c r="K43">
        <v>-44.73876953125</v>
      </c>
      <c r="L43">
        <v>14.6484375</v>
      </c>
    </row>
    <row r="44" spans="1:12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H44" t="s">
        <v>54</v>
      </c>
      <c r="I44" t="s">
        <v>123</v>
      </c>
      <c r="K44">
        <v>-38.177490234375</v>
      </c>
      <c r="L44">
        <v>162.9638671875</v>
      </c>
    </row>
    <row r="45" spans="1:12">
      <c r="A45" s="2">
        <v>46008</v>
      </c>
      <c r="B45" t="s">
        <v>44</v>
      </c>
      <c r="C45">
        <v>63554</v>
      </c>
      <c r="D45">
        <v>1564</v>
      </c>
      <c r="E45" t="s">
        <v>124</v>
      </c>
      <c r="F45" t="s">
        <v>46</v>
      </c>
      <c r="H45" t="s">
        <v>54</v>
      </c>
      <c r="I45" t="s">
        <v>125</v>
      </c>
      <c r="K45">
        <v>-29.266357421875</v>
      </c>
      <c r="L45">
        <v>186.1572265625</v>
      </c>
    </row>
    <row r="46" spans="1:12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H46" t="s">
        <v>48</v>
      </c>
      <c r="I46" t="s">
        <v>127</v>
      </c>
      <c r="K46">
        <v>-33.355712890625</v>
      </c>
      <c r="L46">
        <v>134.8876953125</v>
      </c>
    </row>
    <row r="47" spans="1:12">
      <c r="A47" s="2">
        <v>46008</v>
      </c>
      <c r="B47" t="s">
        <v>90</v>
      </c>
      <c r="C47">
        <v>63555</v>
      </c>
      <c r="D47">
        <v>1566</v>
      </c>
      <c r="E47" t="s">
        <v>104</v>
      </c>
      <c r="F47" t="s">
        <v>46</v>
      </c>
      <c r="H47" t="s">
        <v>48</v>
      </c>
      <c r="K47" s="4"/>
      <c r="L47" s="4"/>
    </row>
    <row r="48" spans="1:12">
      <c r="A48" s="2">
        <v>46008</v>
      </c>
      <c r="B48" t="s">
        <v>90</v>
      </c>
      <c r="C48">
        <v>63555</v>
      </c>
      <c r="D48">
        <v>1567</v>
      </c>
      <c r="E48" t="s">
        <v>110</v>
      </c>
      <c r="F48" t="s">
        <v>46</v>
      </c>
      <c r="H48" t="s">
        <v>48</v>
      </c>
      <c r="K48">
        <v>-28.9306640625</v>
      </c>
      <c r="L48">
        <v>162.353515625</v>
      </c>
    </row>
    <row r="49" spans="1:12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H49" t="s">
        <v>54</v>
      </c>
      <c r="K49">
        <v>-45.5322265625</v>
      </c>
      <c r="L49">
        <v>114.74609375</v>
      </c>
    </row>
    <row r="50" spans="1:12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H50" t="s">
        <v>54</v>
      </c>
      <c r="K50">
        <v>-41.290283203125</v>
      </c>
      <c r="L50">
        <v>64.697265625</v>
      </c>
    </row>
    <row r="51" spans="1:12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H51" t="s">
        <v>54</v>
      </c>
      <c r="I51" t="s">
        <v>130</v>
      </c>
      <c r="K51">
        <v>-38.57421875</v>
      </c>
      <c r="L51">
        <v>123.291015625</v>
      </c>
    </row>
    <row r="52" spans="1:12">
      <c r="A52" s="2">
        <v>46009</v>
      </c>
      <c r="B52" t="s">
        <v>44</v>
      </c>
      <c r="C52">
        <v>63556</v>
      </c>
      <c r="D52">
        <v>1571</v>
      </c>
      <c r="E52" t="s">
        <v>120</v>
      </c>
      <c r="F52" t="s">
        <v>46</v>
      </c>
      <c r="H52" t="s">
        <v>54</v>
      </c>
      <c r="K52">
        <v>-56.33544921875</v>
      </c>
      <c r="L52">
        <v>48.2177734375</v>
      </c>
    </row>
    <row r="53" spans="1:12">
      <c r="A53" s="2">
        <v>46009</v>
      </c>
      <c r="B53" t="s">
        <v>44</v>
      </c>
      <c r="C53">
        <v>63557</v>
      </c>
      <c r="D53">
        <v>1572</v>
      </c>
      <c r="E53" t="s">
        <v>131</v>
      </c>
      <c r="F53" t="s">
        <v>46</v>
      </c>
      <c r="H53" t="s">
        <v>48</v>
      </c>
      <c r="I53" t="s">
        <v>132</v>
      </c>
      <c r="K53">
        <v>-40.71044921875</v>
      </c>
      <c r="L53">
        <v>226.4404296875</v>
      </c>
    </row>
    <row r="54" spans="1:12">
      <c r="A54" s="2">
        <v>46010</v>
      </c>
      <c r="B54" t="s">
        <v>69</v>
      </c>
      <c r="C54">
        <v>63547</v>
      </c>
      <c r="D54">
        <v>1573</v>
      </c>
      <c r="E54" t="s">
        <v>133</v>
      </c>
      <c r="F54" t="s">
        <v>65</v>
      </c>
      <c r="H54" t="s">
        <v>48</v>
      </c>
      <c r="I54" t="s">
        <v>134</v>
      </c>
      <c r="K54">
        <v>-25.421142578125</v>
      </c>
      <c r="L54">
        <v>170.2880859375</v>
      </c>
    </row>
    <row r="55" spans="1:12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H55" t="s">
        <v>54</v>
      </c>
      <c r="I55" t="s">
        <v>135</v>
      </c>
      <c r="K55">
        <v>-41.93115234375</v>
      </c>
      <c r="L55">
        <v>175.78125</v>
      </c>
    </row>
    <row r="56" spans="1:12">
      <c r="A56" s="2">
        <v>46010</v>
      </c>
      <c r="B56" t="s">
        <v>90</v>
      </c>
      <c r="C56">
        <v>63548</v>
      </c>
      <c r="D56">
        <v>1575</v>
      </c>
      <c r="E56" t="s">
        <v>87</v>
      </c>
      <c r="F56" t="s">
        <v>65</v>
      </c>
      <c r="H56" t="s">
        <v>54</v>
      </c>
      <c r="I56" t="s">
        <v>136</v>
      </c>
      <c r="K56">
        <v>-33.75244140625</v>
      </c>
      <c r="L56">
        <v>230.712890625</v>
      </c>
    </row>
    <row r="57" spans="1:12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H57" t="s">
        <v>54</v>
      </c>
      <c r="I57" t="s">
        <v>138</v>
      </c>
      <c r="K57">
        <v>-47.943115234375</v>
      </c>
      <c r="L57">
        <v>66.5283203125</v>
      </c>
    </row>
    <row r="58" spans="1:12">
      <c r="A58" s="2">
        <v>46010</v>
      </c>
      <c r="B58" t="s">
        <v>90</v>
      </c>
      <c r="C58">
        <v>63548</v>
      </c>
      <c r="D58">
        <v>1577</v>
      </c>
      <c r="E58" t="s">
        <v>110</v>
      </c>
      <c r="F58" t="s">
        <v>65</v>
      </c>
      <c r="H58" t="s">
        <v>54</v>
      </c>
      <c r="I58" t="s">
        <v>139</v>
      </c>
      <c r="K58">
        <v>-34.85107421875</v>
      </c>
      <c r="L58">
        <v>95.21484375</v>
      </c>
    </row>
    <row r="59" spans="1:12">
      <c r="A59" s="2">
        <v>46028</v>
      </c>
      <c r="B59" t="s">
        <v>44</v>
      </c>
      <c r="C59">
        <v>64063</v>
      </c>
      <c r="D59">
        <v>1578</v>
      </c>
      <c r="E59" t="s">
        <v>140</v>
      </c>
      <c r="F59" t="s">
        <v>46</v>
      </c>
      <c r="H59" t="s">
        <v>258</v>
      </c>
      <c r="I59" t="s">
        <v>141</v>
      </c>
      <c r="K59">
        <v>-43.212890625</v>
      </c>
      <c r="L59">
        <v>107.421875</v>
      </c>
    </row>
    <row r="60" spans="1:12">
      <c r="A60" s="2">
        <v>46028</v>
      </c>
      <c r="B60" t="s">
        <v>44</v>
      </c>
      <c r="C60">
        <v>64063</v>
      </c>
      <c r="D60">
        <v>1579</v>
      </c>
      <c r="E60" t="s">
        <v>142</v>
      </c>
      <c r="F60" t="s">
        <v>46</v>
      </c>
      <c r="H60" t="s">
        <v>258</v>
      </c>
      <c r="I60" t="s">
        <v>143</v>
      </c>
      <c r="K60">
        <v>-42.877197265625</v>
      </c>
      <c r="L60">
        <v>173.33984375</v>
      </c>
    </row>
    <row r="61" spans="1:12">
      <c r="A61" s="2">
        <v>46028</v>
      </c>
      <c r="B61" t="s">
        <v>44</v>
      </c>
      <c r="C61">
        <v>64064</v>
      </c>
      <c r="D61">
        <v>1580</v>
      </c>
      <c r="E61" t="s">
        <v>144</v>
      </c>
      <c r="F61" t="s">
        <v>46</v>
      </c>
      <c r="H61" t="s">
        <v>259</v>
      </c>
      <c r="K61">
        <v>-37.567138671875</v>
      </c>
      <c r="L61">
        <v>106.201171875</v>
      </c>
    </row>
    <row r="62" spans="1:12">
      <c r="A62" s="2">
        <v>46028</v>
      </c>
      <c r="B62" t="s">
        <v>44</v>
      </c>
      <c r="C62">
        <v>64064</v>
      </c>
      <c r="D62">
        <v>1581</v>
      </c>
      <c r="E62" t="s">
        <v>145</v>
      </c>
      <c r="F62" t="s">
        <v>46</v>
      </c>
      <c r="H62" t="s">
        <v>259</v>
      </c>
      <c r="K62">
        <v>-35.552978515625</v>
      </c>
      <c r="L62">
        <v>95.21484375</v>
      </c>
    </row>
    <row r="63" spans="1:12">
      <c r="A63" s="2">
        <v>46028</v>
      </c>
      <c r="B63" t="s">
        <v>90</v>
      </c>
      <c r="C63">
        <v>64064</v>
      </c>
      <c r="D63">
        <v>1582</v>
      </c>
      <c r="E63" t="s">
        <v>102</v>
      </c>
      <c r="F63" t="s">
        <v>46</v>
      </c>
      <c r="H63" t="s">
        <v>259</v>
      </c>
      <c r="K63" s="87"/>
      <c r="L63" s="4"/>
    </row>
    <row r="64" spans="1:12">
      <c r="A64" s="2">
        <v>46030</v>
      </c>
      <c r="B64" t="s">
        <v>44</v>
      </c>
      <c r="C64">
        <v>64055</v>
      </c>
      <c r="D64">
        <v>1583</v>
      </c>
      <c r="E64" t="s">
        <v>99</v>
      </c>
      <c r="F64" t="s">
        <v>65</v>
      </c>
      <c r="H64" t="s">
        <v>258</v>
      </c>
      <c r="I64" t="s">
        <v>147</v>
      </c>
      <c r="K64">
        <v>-44.403076171875</v>
      </c>
      <c r="L64">
        <v>85.44921875</v>
      </c>
    </row>
    <row r="65" spans="1:12">
      <c r="A65" s="2">
        <v>46030</v>
      </c>
      <c r="B65" t="s">
        <v>44</v>
      </c>
      <c r="C65">
        <v>64056</v>
      </c>
      <c r="D65">
        <v>1584</v>
      </c>
      <c r="E65" t="s">
        <v>148</v>
      </c>
      <c r="F65" t="s">
        <v>65</v>
      </c>
      <c r="H65" t="s">
        <v>259</v>
      </c>
      <c r="K65">
        <v>-24.2919921875</v>
      </c>
      <c r="L65">
        <v>284.423828125</v>
      </c>
    </row>
    <row r="66" spans="1:12">
      <c r="A66" s="2">
        <v>46030</v>
      </c>
      <c r="B66" t="s">
        <v>69</v>
      </c>
      <c r="C66">
        <v>64056</v>
      </c>
      <c r="D66">
        <v>1585</v>
      </c>
      <c r="E66" t="s">
        <v>149</v>
      </c>
      <c r="F66" t="s">
        <v>65</v>
      </c>
      <c r="H66" t="s">
        <v>259</v>
      </c>
      <c r="K66">
        <v>-49.468994140625</v>
      </c>
      <c r="L66">
        <v>59.2041015625</v>
      </c>
    </row>
    <row r="67" spans="1:12">
      <c r="A67" s="2">
        <v>46030</v>
      </c>
      <c r="B67" t="s">
        <v>90</v>
      </c>
      <c r="C67">
        <v>64056</v>
      </c>
      <c r="D67">
        <v>1586</v>
      </c>
      <c r="E67" t="s">
        <v>149</v>
      </c>
      <c r="F67" t="s">
        <v>65</v>
      </c>
      <c r="H67" t="s">
        <v>259</v>
      </c>
      <c r="K67">
        <v>-40.435791015625</v>
      </c>
      <c r="L67">
        <v>81.787109375</v>
      </c>
    </row>
    <row r="68" spans="1:12">
      <c r="A68" s="2">
        <v>46030</v>
      </c>
      <c r="B68" t="s">
        <v>90</v>
      </c>
      <c r="C68">
        <v>64056</v>
      </c>
      <c r="D68">
        <v>1587</v>
      </c>
      <c r="E68" t="s">
        <v>150</v>
      </c>
      <c r="F68" t="s">
        <v>65</v>
      </c>
      <c r="H68" t="s">
        <v>259</v>
      </c>
      <c r="I68" t="s">
        <v>151</v>
      </c>
      <c r="K68">
        <v>-56.488037109375</v>
      </c>
      <c r="L68">
        <v>32.958984375</v>
      </c>
    </row>
    <row r="69" spans="1:12">
      <c r="A69" s="2">
        <v>46031</v>
      </c>
      <c r="B69" t="s">
        <v>90</v>
      </c>
      <c r="C69">
        <v>64065</v>
      </c>
      <c r="D69">
        <v>1588</v>
      </c>
      <c r="E69" t="s">
        <v>68</v>
      </c>
      <c r="F69" t="s">
        <v>46</v>
      </c>
      <c r="H69" t="s">
        <v>259</v>
      </c>
      <c r="I69" t="s">
        <v>153</v>
      </c>
      <c r="K69" s="87"/>
      <c r="L69" s="4"/>
    </row>
    <row r="70" spans="1:12">
      <c r="A70" s="2">
        <v>46031</v>
      </c>
      <c r="B70" t="s">
        <v>44</v>
      </c>
      <c r="C70">
        <v>64065</v>
      </c>
      <c r="D70">
        <v>1589</v>
      </c>
      <c r="E70" t="s">
        <v>99</v>
      </c>
      <c r="F70" t="s">
        <v>46</v>
      </c>
      <c r="H70" t="s">
        <v>259</v>
      </c>
      <c r="K70">
        <v>-34.271240234375</v>
      </c>
      <c r="L70">
        <v>197.1435546875</v>
      </c>
    </row>
    <row r="71" spans="1:12">
      <c r="A71" s="2">
        <v>46031</v>
      </c>
      <c r="B71" t="s">
        <v>44</v>
      </c>
      <c r="C71">
        <v>64065</v>
      </c>
      <c r="D71">
        <v>1590</v>
      </c>
      <c r="E71" t="s">
        <v>142</v>
      </c>
      <c r="F71" t="s">
        <v>46</v>
      </c>
      <c r="H71" t="s">
        <v>259</v>
      </c>
      <c r="I71" t="s">
        <v>155</v>
      </c>
      <c r="K71">
        <v>-44.036865234375</v>
      </c>
      <c r="L71">
        <v>130.615234375</v>
      </c>
    </row>
    <row r="72" spans="1:12">
      <c r="A72" s="2">
        <v>46031</v>
      </c>
      <c r="B72" t="s">
        <v>69</v>
      </c>
      <c r="C72">
        <v>64066</v>
      </c>
      <c r="D72">
        <v>1591</v>
      </c>
      <c r="E72" t="s">
        <v>99</v>
      </c>
      <c r="F72" t="s">
        <v>46</v>
      </c>
      <c r="H72" t="s">
        <v>258</v>
      </c>
      <c r="I72" t="s">
        <v>153</v>
      </c>
      <c r="K72">
        <v>-49.468994140625</v>
      </c>
      <c r="L72">
        <v>59.2041015625</v>
      </c>
    </row>
    <row r="73" spans="1:12">
      <c r="A73" s="2">
        <v>46035</v>
      </c>
      <c r="B73" t="s">
        <v>44</v>
      </c>
      <c r="C73">
        <v>64059</v>
      </c>
      <c r="D73">
        <v>1592</v>
      </c>
      <c r="E73" t="s">
        <v>99</v>
      </c>
      <c r="F73" t="s">
        <v>65</v>
      </c>
      <c r="H73" t="s">
        <v>259</v>
      </c>
      <c r="I73" t="s">
        <v>156</v>
      </c>
      <c r="K73">
        <v>-37.2314453125</v>
      </c>
      <c r="L73">
        <v>158.0810546875</v>
      </c>
    </row>
    <row r="74" spans="1:12">
      <c r="A74" s="2">
        <v>46035</v>
      </c>
      <c r="B74" t="s">
        <v>44</v>
      </c>
      <c r="C74">
        <v>64059</v>
      </c>
      <c r="D74">
        <v>1593</v>
      </c>
      <c r="E74" t="s">
        <v>142</v>
      </c>
      <c r="F74" t="s">
        <v>65</v>
      </c>
      <c r="H74" t="s">
        <v>259</v>
      </c>
      <c r="I74" t="s">
        <v>157</v>
      </c>
      <c r="K74">
        <v>-31.585693359375</v>
      </c>
      <c r="L74">
        <v>203.2470703125</v>
      </c>
    </row>
    <row r="75" spans="1:12">
      <c r="A75" s="2">
        <v>46035</v>
      </c>
      <c r="B75" t="s">
        <v>158</v>
      </c>
      <c r="C75">
        <v>64059</v>
      </c>
      <c r="D75">
        <v>1594</v>
      </c>
      <c r="F75" t="s">
        <v>65</v>
      </c>
      <c r="H75" t="s">
        <v>259</v>
      </c>
      <c r="K75">
        <v>-57.55615234375</v>
      </c>
      <c r="L75">
        <v>10.986328125</v>
      </c>
    </row>
    <row r="76" spans="1:12">
      <c r="A76" s="2">
        <v>46035</v>
      </c>
      <c r="B76" t="s">
        <v>44</v>
      </c>
      <c r="C76">
        <v>64060</v>
      </c>
      <c r="D76">
        <v>1595</v>
      </c>
      <c r="E76" t="s">
        <v>159</v>
      </c>
      <c r="F76" t="s">
        <v>65</v>
      </c>
      <c r="H76" t="s">
        <v>258</v>
      </c>
      <c r="I76" t="s">
        <v>160</v>
      </c>
      <c r="K76">
        <v>-33.02001953125</v>
      </c>
      <c r="L76">
        <v>122.0703125</v>
      </c>
    </row>
    <row r="77" spans="1:12">
      <c r="A77" s="2">
        <v>46036</v>
      </c>
      <c r="B77" t="s">
        <v>44</v>
      </c>
      <c r="C77">
        <v>64057</v>
      </c>
      <c r="D77">
        <v>1596</v>
      </c>
      <c r="E77" t="s">
        <v>107</v>
      </c>
      <c r="F77" t="s">
        <v>65</v>
      </c>
      <c r="H77" t="s">
        <v>258</v>
      </c>
      <c r="I77" t="s">
        <v>161</v>
      </c>
      <c r="K77">
        <v>-40.4052734375</v>
      </c>
      <c r="L77">
        <v>132.4462890625</v>
      </c>
    </row>
    <row r="78" spans="1:12">
      <c r="A78" s="2">
        <v>46036</v>
      </c>
      <c r="B78" t="s">
        <v>44</v>
      </c>
      <c r="C78">
        <v>64057</v>
      </c>
      <c r="D78">
        <v>1597</v>
      </c>
      <c r="E78" t="s">
        <v>116</v>
      </c>
      <c r="F78" t="s">
        <v>65</v>
      </c>
      <c r="H78" t="s">
        <v>258</v>
      </c>
      <c r="I78" t="s">
        <v>162</v>
      </c>
      <c r="K78">
        <v>-42.29736328125</v>
      </c>
      <c r="L78">
        <v>158.0810546875</v>
      </c>
    </row>
    <row r="79" spans="1:12">
      <c r="A79" s="2">
        <v>46036</v>
      </c>
      <c r="B79" t="s">
        <v>44</v>
      </c>
      <c r="C79">
        <v>64058</v>
      </c>
      <c r="D79">
        <v>1598</v>
      </c>
      <c r="E79" t="s">
        <v>163</v>
      </c>
      <c r="F79" t="s">
        <v>65</v>
      </c>
      <c r="H79" t="s">
        <v>259</v>
      </c>
      <c r="I79" t="s">
        <v>164</v>
      </c>
      <c r="K79">
        <v>-47.42431640625</v>
      </c>
      <c r="L79">
        <v>53.7109375</v>
      </c>
    </row>
    <row r="80" spans="1:12">
      <c r="A80" s="2">
        <v>46036</v>
      </c>
      <c r="B80" t="s">
        <v>44</v>
      </c>
      <c r="C80">
        <v>64058</v>
      </c>
      <c r="D80">
        <v>1599</v>
      </c>
      <c r="E80" t="s">
        <v>165</v>
      </c>
      <c r="F80" t="s">
        <v>65</v>
      </c>
      <c r="H80" t="s">
        <v>259</v>
      </c>
      <c r="I80" t="s">
        <v>166</v>
      </c>
      <c r="K80">
        <v>-30.82275390625</v>
      </c>
      <c r="L80">
        <v>56.15234375</v>
      </c>
    </row>
    <row r="81" spans="1:14">
      <c r="A81" s="2">
        <v>46036</v>
      </c>
      <c r="B81" t="s">
        <v>44</v>
      </c>
      <c r="C81">
        <v>64058</v>
      </c>
      <c r="D81">
        <v>1600</v>
      </c>
      <c r="E81" t="s">
        <v>167</v>
      </c>
      <c r="F81" t="s">
        <v>65</v>
      </c>
      <c r="H81" t="s">
        <v>259</v>
      </c>
      <c r="I81" t="s">
        <v>168</v>
      </c>
      <c r="K81">
        <v>-43.701171875</v>
      </c>
      <c r="L81">
        <v>36.62109375</v>
      </c>
    </row>
    <row r="82" spans="1:14">
      <c r="A82" s="2">
        <v>46037</v>
      </c>
      <c r="B82" t="s">
        <v>158</v>
      </c>
      <c r="C82">
        <v>64067</v>
      </c>
      <c r="D82">
        <v>1601</v>
      </c>
      <c r="F82" t="s">
        <v>46</v>
      </c>
      <c r="H82" t="s">
        <v>259</v>
      </c>
      <c r="K82">
        <v>-20.538330078125</v>
      </c>
      <c r="L82">
        <v>194.091796875</v>
      </c>
    </row>
    <row r="83" spans="1:14">
      <c r="A83" s="97">
        <v>46037</v>
      </c>
      <c r="B83" s="50" t="s">
        <v>69</v>
      </c>
      <c r="C83" s="50">
        <v>64067</v>
      </c>
      <c r="D83" s="50">
        <v>1602</v>
      </c>
      <c r="E83" s="50" t="s">
        <v>93</v>
      </c>
      <c r="F83" s="50" t="s">
        <v>46</v>
      </c>
      <c r="G83" s="50"/>
      <c r="H83" s="50" t="s">
        <v>259</v>
      </c>
      <c r="I83" s="50" t="s">
        <v>169</v>
      </c>
      <c r="J83" s="50"/>
      <c r="K83" s="50">
        <v>-44.464111328125</v>
      </c>
      <c r="L83" s="50">
        <v>521.8505859375</v>
      </c>
      <c r="N83" s="50" t="s">
        <v>263</v>
      </c>
    </row>
    <row r="84" spans="1:14">
      <c r="A84" s="97">
        <v>46037</v>
      </c>
      <c r="B84" s="50" t="s">
        <v>69</v>
      </c>
      <c r="C84" s="50">
        <v>64068</v>
      </c>
      <c r="D84" s="50">
        <v>1603</v>
      </c>
      <c r="E84" s="50" t="s">
        <v>170</v>
      </c>
      <c r="F84" s="50" t="s">
        <v>46</v>
      </c>
      <c r="G84" s="50"/>
      <c r="H84" s="50" t="s">
        <v>258</v>
      </c>
      <c r="I84" s="50" t="s">
        <v>171</v>
      </c>
      <c r="J84" s="50"/>
      <c r="K84" s="50">
        <v>-38.14697265625</v>
      </c>
      <c r="L84" s="50">
        <v>714.7216796875</v>
      </c>
    </row>
    <row r="85" spans="1:14">
      <c r="A85" s="97">
        <v>46037</v>
      </c>
      <c r="B85" s="50" t="s">
        <v>69</v>
      </c>
      <c r="C85" s="50">
        <v>64068</v>
      </c>
      <c r="D85" s="50">
        <v>1604</v>
      </c>
      <c r="E85" s="50" t="s">
        <v>172</v>
      </c>
      <c r="F85" s="50" t="s">
        <v>46</v>
      </c>
      <c r="G85" s="50"/>
      <c r="H85" s="50" t="s">
        <v>258</v>
      </c>
      <c r="I85" s="50" t="s">
        <v>173</v>
      </c>
      <c r="J85" s="50"/>
      <c r="K85" s="50">
        <v>-41.107177734375</v>
      </c>
      <c r="L85" s="50">
        <v>595.703125</v>
      </c>
    </row>
    <row r="86" spans="1:14">
      <c r="A86" s="2">
        <v>46038</v>
      </c>
      <c r="B86" t="s">
        <v>90</v>
      </c>
      <c r="C86">
        <v>64061</v>
      </c>
      <c r="D86">
        <v>1605</v>
      </c>
      <c r="E86" t="s">
        <v>174</v>
      </c>
      <c r="F86" t="s">
        <v>65</v>
      </c>
      <c r="H86" t="s">
        <v>258</v>
      </c>
      <c r="I86" t="s">
        <v>175</v>
      </c>
      <c r="K86">
        <v>-31.463623046875</v>
      </c>
      <c r="L86">
        <v>361.328125</v>
      </c>
    </row>
    <row r="87" spans="1:14">
      <c r="A87" s="2">
        <v>46038</v>
      </c>
      <c r="B87" t="s">
        <v>44</v>
      </c>
      <c r="C87">
        <v>64061</v>
      </c>
      <c r="D87">
        <v>1606</v>
      </c>
      <c r="E87" t="s">
        <v>176</v>
      </c>
      <c r="F87" t="s">
        <v>65</v>
      </c>
      <c r="H87" t="s">
        <v>258</v>
      </c>
      <c r="I87" t="s">
        <v>151</v>
      </c>
      <c r="K87">
        <v>-42.694091796875</v>
      </c>
      <c r="L87">
        <v>63.4765625</v>
      </c>
    </row>
    <row r="88" spans="1:14">
      <c r="A88" s="2">
        <v>46038</v>
      </c>
      <c r="B88" t="s">
        <v>90</v>
      </c>
      <c r="C88">
        <v>64061</v>
      </c>
      <c r="D88">
        <v>1607</v>
      </c>
      <c r="E88" t="s">
        <v>177</v>
      </c>
      <c r="F88" t="s">
        <v>65</v>
      </c>
      <c r="H88" t="s">
        <v>258</v>
      </c>
      <c r="K88">
        <v>-35.980224609375</v>
      </c>
      <c r="L88">
        <v>173.33984375</v>
      </c>
    </row>
    <row r="89" spans="1:14">
      <c r="A89" s="2">
        <v>46038</v>
      </c>
      <c r="B89" t="s">
        <v>90</v>
      </c>
      <c r="C89">
        <v>64062</v>
      </c>
      <c r="D89">
        <v>1608</v>
      </c>
      <c r="E89" t="s">
        <v>178</v>
      </c>
      <c r="F89" t="s">
        <v>65</v>
      </c>
      <c r="H89" t="s">
        <v>258</v>
      </c>
      <c r="K89">
        <v>-27.740478515625</v>
      </c>
      <c r="L89">
        <v>160.5224609375</v>
      </c>
    </row>
    <row r="90" spans="1:14">
      <c r="A90" s="2">
        <v>46038</v>
      </c>
      <c r="B90" t="s">
        <v>44</v>
      </c>
      <c r="C90">
        <v>64062</v>
      </c>
      <c r="D90">
        <v>1609</v>
      </c>
      <c r="E90" t="s">
        <v>142</v>
      </c>
      <c r="F90" t="s">
        <v>65</v>
      </c>
      <c r="H90" t="s">
        <v>259</v>
      </c>
      <c r="K90">
        <v>-52.276611328125</v>
      </c>
      <c r="L90">
        <v>66.5283203125</v>
      </c>
    </row>
    <row r="91" spans="1:14">
      <c r="A91" s="2">
        <v>46038</v>
      </c>
      <c r="B91" t="s">
        <v>90</v>
      </c>
      <c r="C91">
        <v>64062</v>
      </c>
      <c r="D91">
        <v>1610</v>
      </c>
      <c r="E91" t="s">
        <v>179</v>
      </c>
      <c r="F91" t="s">
        <v>65</v>
      </c>
      <c r="H91" t="s">
        <v>259</v>
      </c>
      <c r="K91">
        <v>-59.112548828125</v>
      </c>
      <c r="L91">
        <v>28.076171875</v>
      </c>
    </row>
    <row r="92" spans="1:14">
      <c r="A92" s="2">
        <v>46038</v>
      </c>
      <c r="B92" t="s">
        <v>158</v>
      </c>
      <c r="C92">
        <v>64061</v>
      </c>
      <c r="D92">
        <v>1611</v>
      </c>
      <c r="F92" t="s">
        <v>65</v>
      </c>
      <c r="H92" t="s">
        <v>258</v>
      </c>
      <c r="K92">
        <v>-46.0205078125</v>
      </c>
      <c r="L92">
        <v>194.091796875</v>
      </c>
    </row>
    <row r="93" spans="1:14">
      <c r="A93" s="2">
        <v>46038</v>
      </c>
      <c r="B93" t="s">
        <v>90</v>
      </c>
      <c r="C93">
        <v>64062</v>
      </c>
      <c r="D93">
        <v>1612</v>
      </c>
      <c r="E93" t="s">
        <v>181</v>
      </c>
      <c r="F93" t="s">
        <v>65</v>
      </c>
      <c r="H93" t="s">
        <v>259</v>
      </c>
      <c r="K93" s="4"/>
      <c r="L93" s="4"/>
    </row>
    <row r="94" spans="1:14">
      <c r="A94" s="2">
        <v>46038</v>
      </c>
      <c r="B94" t="s">
        <v>44</v>
      </c>
      <c r="C94">
        <v>64062</v>
      </c>
      <c r="D94">
        <v>1613</v>
      </c>
      <c r="F94" t="s">
        <v>65</v>
      </c>
      <c r="H94" t="s">
        <v>259</v>
      </c>
      <c r="I94" t="s">
        <v>182</v>
      </c>
      <c r="K94">
        <v>-76.171875</v>
      </c>
      <c r="L94">
        <v>24.4140625</v>
      </c>
    </row>
    <row r="95" spans="1:14">
      <c r="A95" s="2">
        <v>46042</v>
      </c>
      <c r="B95" t="s">
        <v>69</v>
      </c>
      <c r="C95">
        <v>64069</v>
      </c>
      <c r="D95">
        <v>1614</v>
      </c>
      <c r="E95" t="s">
        <v>140</v>
      </c>
      <c r="F95" t="s">
        <v>46</v>
      </c>
      <c r="H95" t="s">
        <v>259</v>
      </c>
      <c r="I95" t="s">
        <v>183</v>
      </c>
      <c r="K95">
        <v>-50.933837890625</v>
      </c>
      <c r="L95">
        <v>101.9287109375</v>
      </c>
    </row>
    <row r="96" spans="1:14">
      <c r="A96" s="2">
        <v>46042</v>
      </c>
      <c r="B96" t="s">
        <v>90</v>
      </c>
      <c r="C96">
        <v>64069</v>
      </c>
      <c r="D96">
        <v>1615</v>
      </c>
      <c r="E96" t="s">
        <v>140</v>
      </c>
      <c r="F96" t="s">
        <v>46</v>
      </c>
      <c r="H96" t="s">
        <v>259</v>
      </c>
      <c r="K96">
        <v>-45.318603515625</v>
      </c>
      <c r="L96">
        <v>40.283203125</v>
      </c>
    </row>
    <row r="97" spans="1:12">
      <c r="A97" s="2">
        <v>46042</v>
      </c>
      <c r="B97" t="s">
        <v>90</v>
      </c>
      <c r="C97">
        <v>64069</v>
      </c>
      <c r="D97">
        <v>1616</v>
      </c>
      <c r="E97" t="s">
        <v>142</v>
      </c>
      <c r="F97" t="s">
        <v>46</v>
      </c>
      <c r="H97" t="s">
        <v>259</v>
      </c>
      <c r="K97">
        <v>-41.961669921875</v>
      </c>
      <c r="L97">
        <v>88.5009765625</v>
      </c>
    </row>
    <row r="98" spans="1:12">
      <c r="A98" s="2">
        <v>46042</v>
      </c>
      <c r="B98" t="s">
        <v>69</v>
      </c>
      <c r="C98">
        <v>64069</v>
      </c>
      <c r="D98">
        <v>1617</v>
      </c>
      <c r="E98" t="s">
        <v>148</v>
      </c>
      <c r="F98" t="s">
        <v>46</v>
      </c>
      <c r="H98" t="s">
        <v>259</v>
      </c>
      <c r="K98">
        <v>-55.23681640625</v>
      </c>
      <c r="L98">
        <v>34.7900390625</v>
      </c>
    </row>
    <row r="99" spans="1:12">
      <c r="A99" s="2">
        <v>46042</v>
      </c>
      <c r="B99" t="s">
        <v>90</v>
      </c>
      <c r="C99">
        <v>64070</v>
      </c>
      <c r="D99">
        <v>1618</v>
      </c>
      <c r="E99" t="s">
        <v>184</v>
      </c>
      <c r="F99" t="s">
        <v>46</v>
      </c>
      <c r="H99" t="s">
        <v>258</v>
      </c>
      <c r="I99" t="s">
        <v>185</v>
      </c>
      <c r="K99">
        <v>-43.701171875</v>
      </c>
      <c r="L99">
        <v>62.255859375</v>
      </c>
    </row>
    <row r="100" spans="1:12">
      <c r="A100" s="2">
        <v>46042</v>
      </c>
      <c r="B100" t="s">
        <v>90</v>
      </c>
      <c r="C100">
        <v>64070</v>
      </c>
      <c r="D100">
        <v>1619</v>
      </c>
      <c r="E100" t="s">
        <v>186</v>
      </c>
      <c r="F100" t="s">
        <v>46</v>
      </c>
      <c r="H100" t="s">
        <v>258</v>
      </c>
      <c r="I100" t="s">
        <v>187</v>
      </c>
      <c r="K100">
        <v>-35.70556640625</v>
      </c>
      <c r="L100">
        <v>161.1328125</v>
      </c>
    </row>
    <row r="101" spans="1:12">
      <c r="A101" s="2">
        <v>46043</v>
      </c>
      <c r="B101" t="s">
        <v>90</v>
      </c>
      <c r="C101">
        <v>64290</v>
      </c>
      <c r="D101">
        <v>1620</v>
      </c>
      <c r="E101" t="s">
        <v>188</v>
      </c>
      <c r="F101" t="s">
        <v>46</v>
      </c>
      <c r="H101" t="s">
        <v>258</v>
      </c>
      <c r="K101">
        <v>-32.928466796875</v>
      </c>
      <c r="L101">
        <v>295.41015625</v>
      </c>
    </row>
    <row r="102" spans="1:12">
      <c r="A102" s="2">
        <v>46043</v>
      </c>
      <c r="B102" t="s">
        <v>44</v>
      </c>
      <c r="C102">
        <v>64290</v>
      </c>
      <c r="D102">
        <v>1621</v>
      </c>
      <c r="E102" t="s">
        <v>189</v>
      </c>
      <c r="F102" t="s">
        <v>46</v>
      </c>
      <c r="H102" t="s">
        <v>258</v>
      </c>
      <c r="I102" t="s">
        <v>190</v>
      </c>
      <c r="K102">
        <v>-33.477783203125</v>
      </c>
      <c r="L102">
        <v>342.4072265625</v>
      </c>
    </row>
    <row r="103" spans="1:12">
      <c r="A103" s="2">
        <v>46043</v>
      </c>
      <c r="B103" t="s">
        <v>90</v>
      </c>
      <c r="C103">
        <v>64290</v>
      </c>
      <c r="D103">
        <v>1622</v>
      </c>
      <c r="E103" t="s">
        <v>191</v>
      </c>
      <c r="F103" t="s">
        <v>46</v>
      </c>
      <c r="H103" t="s">
        <v>258</v>
      </c>
      <c r="K103">
        <v>-32.28759765625</v>
      </c>
      <c r="L103">
        <v>64.697265625</v>
      </c>
    </row>
    <row r="104" spans="1:12">
      <c r="A104" s="2">
        <v>46043</v>
      </c>
      <c r="B104" t="s">
        <v>44</v>
      </c>
      <c r="C104">
        <v>64290</v>
      </c>
      <c r="D104">
        <v>1623</v>
      </c>
      <c r="E104" t="s">
        <v>107</v>
      </c>
      <c r="F104" t="s">
        <v>46</v>
      </c>
      <c r="H104" t="s">
        <v>258</v>
      </c>
      <c r="I104" t="s">
        <v>192</v>
      </c>
      <c r="K104">
        <v>-37.9638671875</v>
      </c>
      <c r="L104">
        <v>160.5224609375</v>
      </c>
    </row>
    <row r="105" spans="1:12">
      <c r="A105" s="2">
        <v>46043</v>
      </c>
      <c r="B105" t="s">
        <v>44</v>
      </c>
      <c r="C105">
        <v>64290</v>
      </c>
      <c r="D105">
        <v>1624</v>
      </c>
      <c r="E105" t="s">
        <v>116</v>
      </c>
      <c r="F105" t="s">
        <v>46</v>
      </c>
      <c r="H105" t="s">
        <v>258</v>
      </c>
      <c r="I105" t="s">
        <v>193</v>
      </c>
      <c r="K105">
        <v>-33.416748046875</v>
      </c>
      <c r="L105">
        <v>180.6640625</v>
      </c>
    </row>
    <row r="106" spans="1:12">
      <c r="A106" s="2">
        <v>46043</v>
      </c>
      <c r="B106" t="s">
        <v>90</v>
      </c>
      <c r="C106">
        <v>64291</v>
      </c>
      <c r="D106">
        <v>1625</v>
      </c>
      <c r="E106" t="s">
        <v>194</v>
      </c>
      <c r="F106" t="s">
        <v>46</v>
      </c>
      <c r="H106" t="s">
        <v>259</v>
      </c>
      <c r="K106" s="4"/>
      <c r="L106" s="4"/>
    </row>
    <row r="107" spans="1:12">
      <c r="A107" s="2">
        <v>46043</v>
      </c>
      <c r="B107" t="s">
        <v>44</v>
      </c>
      <c r="C107">
        <v>64291</v>
      </c>
      <c r="D107">
        <v>1626</v>
      </c>
      <c r="E107" t="s">
        <v>117</v>
      </c>
      <c r="F107" t="s">
        <v>46</v>
      </c>
      <c r="H107" t="s">
        <v>259</v>
      </c>
      <c r="I107" t="s">
        <v>195</v>
      </c>
      <c r="K107">
        <v>-31.951904296875</v>
      </c>
      <c r="L107">
        <v>236.2060546875</v>
      </c>
    </row>
    <row r="108" spans="1:12">
      <c r="A108" s="2">
        <v>46043</v>
      </c>
      <c r="B108" t="s">
        <v>90</v>
      </c>
      <c r="C108">
        <v>64291</v>
      </c>
      <c r="D108">
        <v>1627</v>
      </c>
      <c r="E108" t="s">
        <v>196</v>
      </c>
      <c r="F108" t="s">
        <v>46</v>
      </c>
      <c r="H108" t="s">
        <v>259</v>
      </c>
      <c r="K108">
        <v>-49.102783203125</v>
      </c>
      <c r="L108">
        <v>41.50390625</v>
      </c>
    </row>
    <row r="109" spans="1:12">
      <c r="A109" s="2">
        <v>46044</v>
      </c>
      <c r="B109" t="s">
        <v>44</v>
      </c>
      <c r="C109">
        <v>64282</v>
      </c>
      <c r="D109">
        <v>1628</v>
      </c>
      <c r="E109" t="s">
        <v>197</v>
      </c>
      <c r="F109" t="s">
        <v>65</v>
      </c>
      <c r="H109" t="s">
        <v>259</v>
      </c>
      <c r="I109" t="s">
        <v>198</v>
      </c>
      <c r="K109">
        <v>-43.792724609375</v>
      </c>
      <c r="L109">
        <v>111.083984375</v>
      </c>
    </row>
    <row r="110" spans="1:12">
      <c r="A110" s="2">
        <v>46044</v>
      </c>
      <c r="B110" t="s">
        <v>90</v>
      </c>
      <c r="C110">
        <v>64282</v>
      </c>
      <c r="D110">
        <v>1629</v>
      </c>
      <c r="E110" t="s">
        <v>199</v>
      </c>
      <c r="F110" t="s">
        <v>65</v>
      </c>
      <c r="H110" t="s">
        <v>259</v>
      </c>
      <c r="K110">
        <v>-33.172607421875</v>
      </c>
      <c r="L110">
        <v>86.669921875</v>
      </c>
    </row>
    <row r="111" spans="1:12">
      <c r="A111" s="2">
        <v>46044</v>
      </c>
      <c r="B111" t="s">
        <v>90</v>
      </c>
      <c r="C111">
        <v>64283</v>
      </c>
      <c r="D111">
        <v>1630</v>
      </c>
      <c r="E111" t="s">
        <v>201</v>
      </c>
      <c r="F111" t="s">
        <v>65</v>
      </c>
      <c r="H111" t="s">
        <v>258</v>
      </c>
      <c r="I111" t="s">
        <v>202</v>
      </c>
      <c r="K111">
        <v>-42.694091796875</v>
      </c>
      <c r="L111">
        <v>188.5986328125</v>
      </c>
    </row>
    <row r="112" spans="1:12">
      <c r="A112" s="2">
        <v>46044</v>
      </c>
      <c r="B112" t="s">
        <v>158</v>
      </c>
      <c r="C112">
        <v>64283</v>
      </c>
      <c r="D112">
        <v>1631</v>
      </c>
      <c r="E112" t="s">
        <v>203</v>
      </c>
      <c r="F112" t="s">
        <v>65</v>
      </c>
      <c r="H112" t="s">
        <v>258</v>
      </c>
      <c r="I112" t="s">
        <v>204</v>
      </c>
      <c r="K112">
        <v>-41.015625</v>
      </c>
      <c r="L112">
        <v>73.2421875</v>
      </c>
    </row>
    <row r="113" spans="1:12">
      <c r="A113" s="2">
        <v>46044</v>
      </c>
      <c r="B113" t="s">
        <v>90</v>
      </c>
      <c r="C113">
        <v>64283</v>
      </c>
      <c r="D113">
        <v>1632</v>
      </c>
      <c r="E113" t="s">
        <v>205</v>
      </c>
      <c r="F113" t="s">
        <v>65</v>
      </c>
      <c r="H113" t="s">
        <v>258</v>
      </c>
      <c r="I113" t="s">
        <v>206</v>
      </c>
      <c r="K113">
        <v>-42.54150390625</v>
      </c>
      <c r="L113">
        <v>137.3291015625</v>
      </c>
    </row>
    <row r="114" spans="1:12">
      <c r="A114" s="2">
        <v>46045</v>
      </c>
      <c r="B114" t="s">
        <v>69</v>
      </c>
      <c r="C114">
        <v>64292</v>
      </c>
      <c r="D114">
        <v>1633</v>
      </c>
      <c r="E114" t="s">
        <v>207</v>
      </c>
      <c r="F114" t="s">
        <v>46</v>
      </c>
      <c r="H114" t="s">
        <v>259</v>
      </c>
      <c r="I114" t="s">
        <v>208</v>
      </c>
      <c r="K114">
        <v>-56.732177734375</v>
      </c>
      <c r="L114">
        <v>23.193359375</v>
      </c>
    </row>
    <row r="115" spans="1:12">
      <c r="A115" s="2">
        <v>46045</v>
      </c>
      <c r="B115" t="s">
        <v>90</v>
      </c>
      <c r="C115">
        <v>64293</v>
      </c>
      <c r="D115">
        <v>1634</v>
      </c>
      <c r="E115" t="s">
        <v>210</v>
      </c>
      <c r="F115" t="s">
        <v>46</v>
      </c>
      <c r="H115" t="s">
        <v>258</v>
      </c>
      <c r="K115">
        <v>-40.679931640625</v>
      </c>
      <c r="L115">
        <v>114.74609375</v>
      </c>
    </row>
    <row r="116" spans="1:12">
      <c r="A116" s="2">
        <v>46045</v>
      </c>
      <c r="B116" t="s">
        <v>90</v>
      </c>
      <c r="C116">
        <v>64293</v>
      </c>
      <c r="D116">
        <v>1635</v>
      </c>
      <c r="E116" t="s">
        <v>211</v>
      </c>
      <c r="F116" t="s">
        <v>46</v>
      </c>
      <c r="H116" t="s">
        <v>258</v>
      </c>
      <c r="I116" t="s">
        <v>212</v>
      </c>
      <c r="K116" s="4"/>
      <c r="L116" s="4"/>
    </row>
    <row r="117" spans="1:12">
      <c r="A117" s="85">
        <v>46049</v>
      </c>
      <c r="B117" s="72" t="s">
        <v>90</v>
      </c>
      <c r="C117" s="72">
        <v>64284</v>
      </c>
      <c r="D117" s="72">
        <v>1636</v>
      </c>
      <c r="E117" s="72" t="s">
        <v>140</v>
      </c>
      <c r="F117" s="72" t="s">
        <v>65</v>
      </c>
      <c r="G117" s="72"/>
      <c r="H117" s="72" t="s">
        <v>259</v>
      </c>
      <c r="I117" s="72"/>
      <c r="K117">
        <v>-41.93115234375</v>
      </c>
      <c r="L117">
        <v>103.1494140625</v>
      </c>
    </row>
    <row r="118" spans="1:12">
      <c r="A118" s="85">
        <v>46049</v>
      </c>
      <c r="B118" s="72" t="s">
        <v>90</v>
      </c>
      <c r="C118" s="72">
        <v>64284</v>
      </c>
      <c r="D118" s="72">
        <v>1637</v>
      </c>
      <c r="E118" s="72" t="s">
        <v>142</v>
      </c>
      <c r="F118" s="72" t="s">
        <v>65</v>
      </c>
      <c r="G118" s="72"/>
      <c r="H118" s="72" t="s">
        <v>259</v>
      </c>
      <c r="I118" s="72" t="s">
        <v>213</v>
      </c>
      <c r="K118">
        <v>-42.022705078125</v>
      </c>
      <c r="L118">
        <v>90.9423828125</v>
      </c>
    </row>
    <row r="119" spans="1:12">
      <c r="A119" s="85">
        <v>46049</v>
      </c>
      <c r="B119" s="72" t="s">
        <v>90</v>
      </c>
      <c r="C119" s="72">
        <v>64284</v>
      </c>
      <c r="D119" s="72">
        <v>1638</v>
      </c>
      <c r="E119" s="72" t="s">
        <v>214</v>
      </c>
      <c r="F119" s="72" t="s">
        <v>65</v>
      </c>
      <c r="G119" s="72"/>
      <c r="H119" s="72" t="s">
        <v>259</v>
      </c>
      <c r="I119" s="72" t="s">
        <v>215</v>
      </c>
      <c r="K119">
        <v>-23.712158203125</v>
      </c>
      <c r="L119">
        <v>188.5986328125</v>
      </c>
    </row>
    <row r="120" spans="1:12">
      <c r="A120" s="85">
        <v>46049</v>
      </c>
      <c r="B120" s="72" t="s">
        <v>44</v>
      </c>
      <c r="C120" s="72">
        <v>64284</v>
      </c>
      <c r="D120" s="72">
        <v>1639</v>
      </c>
      <c r="E120" s="72" t="s">
        <v>216</v>
      </c>
      <c r="F120" s="72" t="s">
        <v>65</v>
      </c>
      <c r="G120" s="72"/>
      <c r="H120" s="72" t="s">
        <v>259</v>
      </c>
      <c r="I120" s="72" t="s">
        <v>217</v>
      </c>
      <c r="K120">
        <v>-34.576416015625</v>
      </c>
      <c r="L120">
        <v>122.6806640625</v>
      </c>
    </row>
    <row r="121" spans="1:12">
      <c r="A121" s="85">
        <v>46049</v>
      </c>
      <c r="B121" s="72" t="s">
        <v>90</v>
      </c>
      <c r="C121" s="72">
        <v>64285</v>
      </c>
      <c r="D121" s="72">
        <v>1640</v>
      </c>
      <c r="E121" s="72" t="s">
        <v>218</v>
      </c>
      <c r="F121" s="72" t="s">
        <v>65</v>
      </c>
      <c r="G121" s="72"/>
      <c r="H121" s="72" t="s">
        <v>258</v>
      </c>
      <c r="I121" s="72" t="s">
        <v>219</v>
      </c>
      <c r="K121">
        <v>-41.07666015625</v>
      </c>
      <c r="L121">
        <v>120.2392578125</v>
      </c>
    </row>
    <row r="122" spans="1:12">
      <c r="A122" s="85">
        <v>46049</v>
      </c>
      <c r="B122" s="72" t="s">
        <v>44</v>
      </c>
      <c r="C122" s="72">
        <v>64284</v>
      </c>
      <c r="D122" s="72">
        <v>1641</v>
      </c>
      <c r="E122" s="72" t="s">
        <v>95</v>
      </c>
      <c r="F122" s="72" t="s">
        <v>65</v>
      </c>
      <c r="G122" s="72"/>
      <c r="H122" s="72" t="s">
        <v>259</v>
      </c>
      <c r="I122" s="72"/>
      <c r="K122">
        <v>-19.866943359375</v>
      </c>
      <c r="L122">
        <v>137.3291015625</v>
      </c>
    </row>
    <row r="123" spans="1:12">
      <c r="A123" s="85">
        <v>46049</v>
      </c>
      <c r="B123" s="72" t="s">
        <v>90</v>
      </c>
      <c r="C123" s="72">
        <v>64285</v>
      </c>
      <c r="D123" s="72">
        <v>1642</v>
      </c>
      <c r="E123" s="72" t="s">
        <v>220</v>
      </c>
      <c r="F123" s="72" t="s">
        <v>65</v>
      </c>
      <c r="G123" s="72"/>
      <c r="H123" s="72" t="s">
        <v>258</v>
      </c>
      <c r="I123" s="72"/>
      <c r="K123">
        <v>-45.135498046875</v>
      </c>
      <c r="L123">
        <v>124.51171875</v>
      </c>
    </row>
    <row r="124" spans="1:12">
      <c r="A124" s="85">
        <v>46049</v>
      </c>
      <c r="B124" s="72" t="s">
        <v>44</v>
      </c>
      <c r="C124" s="72">
        <v>64285</v>
      </c>
      <c r="D124" s="72">
        <v>1643</v>
      </c>
      <c r="E124" s="72" t="s">
        <v>144</v>
      </c>
      <c r="F124" s="72" t="s">
        <v>65</v>
      </c>
      <c r="G124" s="72"/>
      <c r="H124" s="72" t="s">
        <v>258</v>
      </c>
      <c r="I124" s="72"/>
      <c r="K124">
        <v>-30.487060546875</v>
      </c>
      <c r="L124">
        <v>188.5986328125</v>
      </c>
    </row>
    <row r="125" spans="1:12">
      <c r="A125" s="85">
        <v>46049</v>
      </c>
      <c r="B125" s="72" t="s">
        <v>44</v>
      </c>
      <c r="C125" s="72">
        <v>64285</v>
      </c>
      <c r="D125" s="72">
        <v>1644</v>
      </c>
      <c r="E125" s="72" t="s">
        <v>221</v>
      </c>
      <c r="F125" s="72" t="s">
        <v>65</v>
      </c>
      <c r="G125" s="72"/>
      <c r="H125" s="72" t="s">
        <v>258</v>
      </c>
      <c r="I125" s="72" t="s">
        <v>222</v>
      </c>
      <c r="K125">
        <v>-38.818359375</v>
      </c>
      <c r="L125">
        <v>217.8955078125</v>
      </c>
    </row>
    <row r="126" spans="1:12">
      <c r="A126" s="85">
        <v>46050</v>
      </c>
      <c r="B126" s="72" t="s">
        <v>44</v>
      </c>
      <c r="C126" s="72">
        <v>64286</v>
      </c>
      <c r="D126" s="72">
        <v>1645</v>
      </c>
      <c r="E126" s="72" t="s">
        <v>223</v>
      </c>
      <c r="F126" s="72" t="s">
        <v>65</v>
      </c>
      <c r="G126" s="72"/>
      <c r="H126" s="72" t="s">
        <v>258</v>
      </c>
      <c r="I126" s="72" t="s">
        <v>224</v>
      </c>
      <c r="K126">
        <v>-45.379638671875</v>
      </c>
      <c r="L126">
        <v>113.525390625</v>
      </c>
    </row>
    <row r="127" spans="1:12">
      <c r="A127" s="85">
        <v>46050</v>
      </c>
      <c r="B127" s="72" t="s">
        <v>90</v>
      </c>
      <c r="C127" s="72">
        <v>64286</v>
      </c>
      <c r="D127" s="72">
        <v>1646</v>
      </c>
      <c r="E127" s="72" t="s">
        <v>140</v>
      </c>
      <c r="F127" s="72" t="s">
        <v>65</v>
      </c>
      <c r="G127" s="72"/>
      <c r="H127" s="72" t="s">
        <v>258</v>
      </c>
      <c r="I127" s="72"/>
      <c r="K127">
        <v>-40.863037109375</v>
      </c>
      <c r="L127">
        <v>127.5634765625</v>
      </c>
    </row>
    <row r="128" spans="1:12">
      <c r="A128" s="85">
        <v>46050</v>
      </c>
      <c r="B128" s="72" t="s">
        <v>44</v>
      </c>
      <c r="C128" s="72">
        <v>64286</v>
      </c>
      <c r="D128" s="72">
        <v>1647</v>
      </c>
      <c r="E128" s="72" t="s">
        <v>107</v>
      </c>
      <c r="F128" s="72" t="s">
        <v>65</v>
      </c>
      <c r="G128" s="72"/>
      <c r="H128" s="72" t="s">
        <v>258</v>
      </c>
      <c r="I128" s="72" t="s">
        <v>225</v>
      </c>
      <c r="K128">
        <v>-41.07666015625</v>
      </c>
      <c r="L128">
        <v>140.380859375</v>
      </c>
    </row>
    <row r="129" spans="1:12">
      <c r="A129" s="85">
        <v>46050</v>
      </c>
      <c r="B129" s="72" t="s">
        <v>44</v>
      </c>
      <c r="C129" s="72">
        <v>64286</v>
      </c>
      <c r="D129" s="72">
        <v>1648</v>
      </c>
      <c r="E129" s="72" t="s">
        <v>116</v>
      </c>
      <c r="F129" s="72" t="s">
        <v>65</v>
      </c>
      <c r="G129" s="72"/>
      <c r="H129" s="72" t="s">
        <v>258</v>
      </c>
      <c r="I129" s="72" t="s">
        <v>226</v>
      </c>
      <c r="K129">
        <v>-22.918701171875</v>
      </c>
      <c r="L129">
        <v>297.2412109375</v>
      </c>
    </row>
    <row r="130" spans="1:12">
      <c r="A130" s="85">
        <v>46050</v>
      </c>
      <c r="B130" s="72" t="s">
        <v>90</v>
      </c>
      <c r="C130" s="72">
        <v>64286</v>
      </c>
      <c r="D130" s="72">
        <v>1649</v>
      </c>
      <c r="E130" s="72" t="s">
        <v>124</v>
      </c>
      <c r="F130" s="72" t="s">
        <v>65</v>
      </c>
      <c r="G130" s="72"/>
      <c r="H130" s="72" t="s">
        <v>258</v>
      </c>
      <c r="I130" s="72" t="s">
        <v>227</v>
      </c>
      <c r="K130">
        <v>-33.75244140625</v>
      </c>
      <c r="L130">
        <v>98.876953125</v>
      </c>
    </row>
    <row r="131" spans="1:12">
      <c r="A131" s="85">
        <v>46050</v>
      </c>
      <c r="B131" s="72" t="s">
        <v>90</v>
      </c>
      <c r="C131" s="72">
        <v>64287</v>
      </c>
      <c r="D131" s="72">
        <v>1650</v>
      </c>
      <c r="E131" s="72" t="s">
        <v>126</v>
      </c>
      <c r="F131" s="72" t="s">
        <v>65</v>
      </c>
      <c r="G131" s="72"/>
      <c r="H131" s="72" t="s">
        <v>259</v>
      </c>
      <c r="I131" s="72"/>
      <c r="K131" s="4"/>
      <c r="L131" s="4"/>
    </row>
    <row r="132" spans="1:12">
      <c r="A132" s="85">
        <v>46050</v>
      </c>
      <c r="B132" s="72" t="s">
        <v>90</v>
      </c>
      <c r="C132" s="72">
        <v>64287</v>
      </c>
      <c r="D132" s="72">
        <v>1651</v>
      </c>
      <c r="E132" s="72" t="s">
        <v>145</v>
      </c>
      <c r="F132" s="72" t="s">
        <v>65</v>
      </c>
      <c r="G132" s="72"/>
      <c r="H132" s="72" t="s">
        <v>259</v>
      </c>
      <c r="I132" s="72" t="s">
        <v>228</v>
      </c>
      <c r="K132">
        <v>-38.39111328125</v>
      </c>
      <c r="L132">
        <v>152.587890625</v>
      </c>
    </row>
    <row r="133" spans="1:12">
      <c r="A133" s="85">
        <v>46051</v>
      </c>
      <c r="B133" s="72" t="s">
        <v>90</v>
      </c>
      <c r="C133" s="72">
        <v>64278</v>
      </c>
      <c r="D133" s="72">
        <v>1652</v>
      </c>
      <c r="E133" s="72" t="s">
        <v>140</v>
      </c>
      <c r="F133" s="72" t="s">
        <v>46</v>
      </c>
      <c r="G133" s="72"/>
      <c r="H133" s="72" t="s">
        <v>259</v>
      </c>
      <c r="I133" s="72"/>
      <c r="K133">
        <v>-41.412353515625</v>
      </c>
      <c r="L133">
        <v>104.3701171875</v>
      </c>
    </row>
    <row r="134" spans="1:12">
      <c r="A134" s="85">
        <v>46051</v>
      </c>
      <c r="B134" s="72" t="s">
        <v>90</v>
      </c>
      <c r="C134" s="72">
        <v>64278</v>
      </c>
      <c r="D134" s="72">
        <v>1653</v>
      </c>
      <c r="E134" s="72" t="s">
        <v>142</v>
      </c>
      <c r="F134" s="72" t="s">
        <v>46</v>
      </c>
      <c r="G134" s="72"/>
      <c r="H134" s="72" t="s">
        <v>259</v>
      </c>
      <c r="I134" s="72" t="s">
        <v>229</v>
      </c>
      <c r="K134">
        <v>-36.865234375</v>
      </c>
      <c r="L134">
        <v>133.056640625</v>
      </c>
    </row>
    <row r="135" spans="1:12">
      <c r="A135" s="85">
        <v>46051</v>
      </c>
      <c r="B135" s="72" t="s">
        <v>90</v>
      </c>
      <c r="C135" s="72">
        <v>64278</v>
      </c>
      <c r="D135" s="72">
        <v>1654</v>
      </c>
      <c r="E135" s="72" t="s">
        <v>184</v>
      </c>
      <c r="F135" s="72" t="s">
        <v>46</v>
      </c>
      <c r="G135" s="72"/>
      <c r="H135" s="72" t="s">
        <v>259</v>
      </c>
      <c r="I135" s="72"/>
      <c r="K135">
        <v>-31.768798828125</v>
      </c>
      <c r="L135">
        <v>218.505859375</v>
      </c>
    </row>
    <row r="136" spans="1:12">
      <c r="A136" s="85">
        <v>46051</v>
      </c>
      <c r="B136" s="72" t="s">
        <v>158</v>
      </c>
      <c r="C136" s="72">
        <v>64278</v>
      </c>
      <c r="D136" s="72">
        <v>1655</v>
      </c>
      <c r="E136" s="72" t="s">
        <v>230</v>
      </c>
      <c r="F136" s="72" t="s">
        <v>46</v>
      </c>
      <c r="G136" s="72"/>
      <c r="H136" s="72" t="s">
        <v>259</v>
      </c>
      <c r="I136" s="72"/>
      <c r="K136">
        <v>-48.309326171875</v>
      </c>
      <c r="L136">
        <v>52.490234375</v>
      </c>
    </row>
    <row r="137" spans="1:12">
      <c r="A137" s="85">
        <v>46051</v>
      </c>
      <c r="B137" s="72" t="s">
        <v>90</v>
      </c>
      <c r="C137" s="72">
        <v>64279</v>
      </c>
      <c r="D137" s="72">
        <v>1656</v>
      </c>
      <c r="E137" s="72" t="s">
        <v>231</v>
      </c>
      <c r="F137" s="72" t="s">
        <v>46</v>
      </c>
      <c r="G137" s="72"/>
      <c r="H137" s="72" t="s">
        <v>259</v>
      </c>
      <c r="I137" s="72" t="s">
        <v>232</v>
      </c>
      <c r="K137">
        <v>-32.71484375</v>
      </c>
      <c r="L137">
        <v>181.2744140625</v>
      </c>
    </row>
    <row r="138" spans="1:12">
      <c r="A138" s="85">
        <v>46051</v>
      </c>
      <c r="B138" s="72" t="s">
        <v>90</v>
      </c>
      <c r="C138" s="72">
        <v>64279</v>
      </c>
      <c r="D138" s="72">
        <v>1657</v>
      </c>
      <c r="E138" s="72" t="s">
        <v>233</v>
      </c>
      <c r="F138" s="72" t="s">
        <v>46</v>
      </c>
      <c r="G138" s="72"/>
      <c r="H138" s="72" t="s">
        <v>258</v>
      </c>
      <c r="I138" s="72" t="s">
        <v>234</v>
      </c>
      <c r="K138">
        <v>-36.346435546875</v>
      </c>
      <c r="L138">
        <v>191.0400390625</v>
      </c>
    </row>
    <row r="139" spans="1:12">
      <c r="A139" s="85">
        <v>46051</v>
      </c>
      <c r="B139" s="72" t="s">
        <v>158</v>
      </c>
      <c r="C139" s="72">
        <v>64279</v>
      </c>
      <c r="D139" s="72">
        <v>1658</v>
      </c>
      <c r="E139" s="72" t="s">
        <v>145</v>
      </c>
      <c r="F139" s="72" t="s">
        <v>46</v>
      </c>
      <c r="G139" s="72"/>
      <c r="H139" s="72" t="s">
        <v>258</v>
      </c>
      <c r="I139" s="72" t="s">
        <v>235</v>
      </c>
      <c r="K139">
        <v>-57.43408203125</v>
      </c>
      <c r="L139">
        <v>28.076171875</v>
      </c>
    </row>
    <row r="140" spans="1:12">
      <c r="A140" s="85">
        <v>46051</v>
      </c>
      <c r="B140" s="72" t="s">
        <v>90</v>
      </c>
      <c r="C140" s="72">
        <v>64279</v>
      </c>
      <c r="D140" s="72">
        <v>1659</v>
      </c>
      <c r="E140" s="72" t="s">
        <v>236</v>
      </c>
      <c r="F140" s="72" t="s">
        <v>46</v>
      </c>
      <c r="G140" s="72"/>
      <c r="H140" s="72" t="s">
        <v>258</v>
      </c>
      <c r="I140" s="72"/>
      <c r="K140">
        <v>-35.09521484375</v>
      </c>
      <c r="L140">
        <v>187.98828125</v>
      </c>
    </row>
    <row r="141" spans="1:12">
      <c r="A141" s="85">
        <v>46052</v>
      </c>
      <c r="B141" s="72" t="s">
        <v>90</v>
      </c>
      <c r="C141" s="72">
        <v>64288</v>
      </c>
      <c r="D141" s="72">
        <v>1660</v>
      </c>
      <c r="E141" s="72" t="s">
        <v>91</v>
      </c>
      <c r="F141" s="72" t="s">
        <v>65</v>
      </c>
      <c r="G141" s="72"/>
      <c r="H141" s="72" t="s">
        <v>258</v>
      </c>
      <c r="I141" s="72"/>
      <c r="K141">
        <v>-32.958984375</v>
      </c>
      <c r="L141">
        <v>269.1650390625</v>
      </c>
    </row>
    <row r="142" spans="1:12">
      <c r="A142" s="85">
        <v>46052</v>
      </c>
      <c r="B142" s="72" t="s">
        <v>90</v>
      </c>
      <c r="C142" s="72">
        <v>64288</v>
      </c>
      <c r="D142" s="72">
        <v>1661</v>
      </c>
      <c r="E142" s="72" t="s">
        <v>237</v>
      </c>
      <c r="F142" s="72" t="s">
        <v>65</v>
      </c>
      <c r="G142" s="72"/>
      <c r="H142" s="72" t="s">
        <v>258</v>
      </c>
      <c r="I142" s="72"/>
      <c r="K142">
        <v>-38.0859375</v>
      </c>
      <c r="L142">
        <v>203.857421875</v>
      </c>
    </row>
    <row r="143" spans="1:12">
      <c r="A143" s="85">
        <v>46052</v>
      </c>
      <c r="B143" s="72" t="s">
        <v>90</v>
      </c>
      <c r="C143" s="72">
        <v>64288</v>
      </c>
      <c r="D143" s="72">
        <v>1662</v>
      </c>
      <c r="E143" s="72" t="s">
        <v>238</v>
      </c>
      <c r="F143" s="72" t="s">
        <v>65</v>
      </c>
      <c r="G143" s="72"/>
      <c r="H143" s="72" t="s">
        <v>258</v>
      </c>
      <c r="I143" s="72" t="s">
        <v>239</v>
      </c>
      <c r="K143">
        <v>-43.731689453125</v>
      </c>
      <c r="L143">
        <v>71.4111328125</v>
      </c>
    </row>
    <row r="144" spans="1:12">
      <c r="A144" s="85">
        <v>46052</v>
      </c>
      <c r="B144" s="72" t="s">
        <v>90</v>
      </c>
      <c r="C144" s="72">
        <v>64289</v>
      </c>
      <c r="D144" s="72">
        <v>1663</v>
      </c>
      <c r="E144" s="72" t="s">
        <v>240</v>
      </c>
      <c r="F144" s="72" t="s">
        <v>65</v>
      </c>
      <c r="G144" s="72"/>
      <c r="H144" s="72" t="s">
        <v>259</v>
      </c>
      <c r="I144" s="72" t="s">
        <v>241</v>
      </c>
      <c r="K144">
        <v>-38.02490234375</v>
      </c>
      <c r="L144">
        <v>232.5439453125</v>
      </c>
    </row>
    <row r="145" spans="1:12">
      <c r="A145" s="85">
        <v>46052</v>
      </c>
      <c r="B145" s="72" t="s">
        <v>90</v>
      </c>
      <c r="C145" s="72">
        <v>64289</v>
      </c>
      <c r="D145" s="72">
        <v>1664</v>
      </c>
      <c r="E145" s="72" t="s">
        <v>167</v>
      </c>
      <c r="F145" s="72" t="s">
        <v>65</v>
      </c>
      <c r="G145" s="72"/>
      <c r="H145" s="72" t="s">
        <v>259</v>
      </c>
      <c r="I145" s="72" t="s">
        <v>243</v>
      </c>
      <c r="K145">
        <v>-47.149658203125</v>
      </c>
      <c r="L145">
        <v>53.1005859375</v>
      </c>
    </row>
    <row r="146" spans="1:12">
      <c r="A146" s="85">
        <v>46052</v>
      </c>
      <c r="B146" s="72" t="s">
        <v>90</v>
      </c>
      <c r="C146" s="72">
        <v>64289</v>
      </c>
      <c r="D146" s="72">
        <v>1665</v>
      </c>
      <c r="E146" s="72" t="s">
        <v>244</v>
      </c>
      <c r="F146" s="72" t="s">
        <v>65</v>
      </c>
      <c r="G146" s="72"/>
      <c r="H146" s="72" t="s">
        <v>259</v>
      </c>
      <c r="I146" s="72"/>
      <c r="K146" s="4"/>
      <c r="L146" s="4"/>
    </row>
    <row r="147" spans="1:12">
      <c r="A147" s="85">
        <v>46057</v>
      </c>
      <c r="B147" s="72" t="s">
        <v>44</v>
      </c>
      <c r="C147" s="72">
        <v>64280</v>
      </c>
      <c r="D147" s="72">
        <v>1666</v>
      </c>
      <c r="E147" s="72" t="s">
        <v>140</v>
      </c>
      <c r="F147" s="72" t="s">
        <v>46</v>
      </c>
      <c r="G147" s="72"/>
      <c r="H147" s="72" t="s">
        <v>258</v>
      </c>
      <c r="I147" s="72" t="s">
        <v>246</v>
      </c>
      <c r="K147">
        <v>-36.163330078125</v>
      </c>
      <c r="L147">
        <v>191.650390625</v>
      </c>
    </row>
    <row r="148" spans="1:12">
      <c r="A148" s="85">
        <v>46057</v>
      </c>
      <c r="B148" s="72" t="s">
        <v>44</v>
      </c>
      <c r="C148" s="72">
        <v>64280</v>
      </c>
      <c r="D148" s="72">
        <v>1667</v>
      </c>
      <c r="E148" s="72" t="s">
        <v>82</v>
      </c>
      <c r="F148" s="72" t="s">
        <v>46</v>
      </c>
      <c r="G148" s="72"/>
      <c r="H148" s="72" t="s">
        <v>258</v>
      </c>
      <c r="I148" s="72" t="s">
        <v>247</v>
      </c>
      <c r="K148">
        <v>-37.567138671875</v>
      </c>
      <c r="L148">
        <v>161.1328125</v>
      </c>
    </row>
    <row r="149" spans="1:12">
      <c r="A149" s="85">
        <v>46057</v>
      </c>
      <c r="B149" s="72" t="s">
        <v>90</v>
      </c>
      <c r="C149" s="72">
        <v>64280</v>
      </c>
      <c r="D149" s="72">
        <v>1668</v>
      </c>
      <c r="E149" s="72" t="s">
        <v>140</v>
      </c>
      <c r="F149" s="72" t="s">
        <v>46</v>
      </c>
      <c r="G149" s="72"/>
      <c r="H149" s="72" t="s">
        <v>258</v>
      </c>
      <c r="I149" s="72" t="s">
        <v>248</v>
      </c>
      <c r="K149">
        <v>-32.28759765625</v>
      </c>
      <c r="L149">
        <v>209.3505859375</v>
      </c>
    </row>
    <row r="150" spans="1:12">
      <c r="A150" s="85">
        <v>46057</v>
      </c>
      <c r="B150" s="72" t="s">
        <v>90</v>
      </c>
      <c r="C150" s="72">
        <v>64280</v>
      </c>
      <c r="D150" s="72">
        <v>1669</v>
      </c>
      <c r="E150" s="72" t="s">
        <v>142</v>
      </c>
      <c r="F150" s="72" t="s">
        <v>46</v>
      </c>
      <c r="G150" s="72"/>
      <c r="H150" s="72" t="s">
        <v>258</v>
      </c>
      <c r="I150" s="72"/>
      <c r="K150">
        <v>-32.867431640625</v>
      </c>
      <c r="L150">
        <v>140.380859375</v>
      </c>
    </row>
    <row r="151" spans="1:12">
      <c r="A151" s="85">
        <v>46057</v>
      </c>
      <c r="B151" s="72" t="s">
        <v>90</v>
      </c>
      <c r="C151" s="72">
        <v>64281</v>
      </c>
      <c r="D151" s="72">
        <v>1670</v>
      </c>
      <c r="E151" s="72" t="s">
        <v>194</v>
      </c>
      <c r="F151" s="72" t="s">
        <v>46</v>
      </c>
      <c r="G151" s="72"/>
      <c r="H151" s="72" t="s">
        <v>259</v>
      </c>
      <c r="I151" s="72" t="s">
        <v>249</v>
      </c>
      <c r="K151">
        <v>-32.989501953125</v>
      </c>
      <c r="L151">
        <v>313.720703125</v>
      </c>
    </row>
    <row r="152" spans="1:12">
      <c r="A152" s="85">
        <v>46057</v>
      </c>
      <c r="B152" s="72" t="s">
        <v>44</v>
      </c>
      <c r="C152" s="72">
        <v>64281</v>
      </c>
      <c r="D152" s="72">
        <v>1671</v>
      </c>
      <c r="E152" s="72" t="s">
        <v>184</v>
      </c>
      <c r="F152" s="72" t="s">
        <v>46</v>
      </c>
      <c r="G152" s="72"/>
      <c r="H152" s="72" t="s">
        <v>259</v>
      </c>
      <c r="I152" s="72"/>
      <c r="K152">
        <v>-44.5556640625</v>
      </c>
      <c r="L152">
        <v>67.7490234375</v>
      </c>
    </row>
    <row r="153" spans="1:12">
      <c r="A153" s="85">
        <v>46057</v>
      </c>
      <c r="B153" s="72" t="s">
        <v>44</v>
      </c>
      <c r="C153" s="72">
        <v>64281</v>
      </c>
      <c r="D153" s="72">
        <v>1672</v>
      </c>
      <c r="E153" s="72" t="s">
        <v>250</v>
      </c>
      <c r="F153" s="72" t="s">
        <v>46</v>
      </c>
      <c r="G153" s="72"/>
      <c r="H153" s="72" t="s">
        <v>259</v>
      </c>
      <c r="I153" s="72" t="s">
        <v>252</v>
      </c>
      <c r="K153">
        <v>-39.306640625</v>
      </c>
      <c r="L153">
        <v>267.9443359375</v>
      </c>
    </row>
    <row r="154" spans="1:12">
      <c r="A154" s="85">
        <v>46057</v>
      </c>
      <c r="B154" s="72" t="s">
        <v>90</v>
      </c>
      <c r="C154" s="72">
        <v>64281</v>
      </c>
      <c r="D154" s="72">
        <v>1673</v>
      </c>
      <c r="E154" s="72" t="s">
        <v>251</v>
      </c>
      <c r="F154" s="72" t="s">
        <v>46</v>
      </c>
      <c r="G154" s="72"/>
      <c r="H154" s="72" t="s">
        <v>259</v>
      </c>
      <c r="I154" s="72" t="s">
        <v>254</v>
      </c>
      <c r="K154">
        <v>-41.717529296875</v>
      </c>
      <c r="L154">
        <v>128.7841796875</v>
      </c>
    </row>
    <row r="155" spans="1:12">
      <c r="A155" s="85">
        <v>46057</v>
      </c>
      <c r="B155" s="72" t="s">
        <v>44</v>
      </c>
      <c r="C155" s="72">
        <v>64281</v>
      </c>
      <c r="D155" s="72">
        <v>1674</v>
      </c>
      <c r="E155" s="72" t="s">
        <v>253</v>
      </c>
      <c r="F155" s="72" t="s">
        <v>46</v>
      </c>
      <c r="G155" s="72"/>
      <c r="H155" s="72" t="s">
        <v>259</v>
      </c>
      <c r="I155" s="72" t="s">
        <v>256</v>
      </c>
      <c r="K155">
        <v>-34.3017578125</v>
      </c>
      <c r="L155">
        <v>225.2197265625</v>
      </c>
    </row>
    <row r="156" spans="1:12">
      <c r="A156" s="85">
        <v>46057</v>
      </c>
      <c r="B156" s="72" t="s">
        <v>90</v>
      </c>
      <c r="C156" s="72">
        <v>64281</v>
      </c>
      <c r="D156" s="72">
        <v>1675</v>
      </c>
      <c r="E156" s="72" t="s">
        <v>255</v>
      </c>
      <c r="F156" s="72" t="s">
        <v>46</v>
      </c>
      <c r="G156" s="72"/>
      <c r="H156" s="72" t="s">
        <v>259</v>
      </c>
      <c r="I156" s="72"/>
      <c r="K156">
        <v>-15.411376953125</v>
      </c>
      <c r="L156">
        <v>196.533203125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DBE3-E893-4850-B35D-AADB9843CEC6}">
  <sheetPr>
    <tabColor rgb="FFF584ED"/>
  </sheetPr>
  <dimension ref="A1:M156"/>
  <sheetViews>
    <sheetView topLeftCell="A95" workbookViewId="0">
      <selection activeCell="A95" sqref="A95"/>
    </sheetView>
  </sheetViews>
  <sheetFormatPr defaultRowHeight="15"/>
  <cols>
    <col min="1" max="1" width="11.42578125" bestFit="1" customWidth="1"/>
    <col min="5" max="5" width="21" bestFit="1" customWidth="1"/>
    <col min="11" max="11" width="11.140625" bestFit="1" customWidth="1"/>
    <col min="12" max="12" width="12.57031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15</v>
      </c>
      <c r="L1" s="6" t="s">
        <v>16</v>
      </c>
    </row>
    <row r="2" spans="1:12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H2" t="s">
        <v>48</v>
      </c>
      <c r="I2" t="s">
        <v>49</v>
      </c>
      <c r="K2">
        <v>0.76295205244147701</v>
      </c>
      <c r="L2">
        <v>0.74435964217621731</v>
      </c>
    </row>
    <row r="3" spans="1:12">
      <c r="A3" s="2">
        <v>45979</v>
      </c>
      <c r="B3" t="s">
        <v>44</v>
      </c>
      <c r="C3">
        <v>63562</v>
      </c>
      <c r="D3">
        <v>1521</v>
      </c>
      <c r="E3" t="s">
        <v>51</v>
      </c>
      <c r="F3" t="s">
        <v>46</v>
      </c>
      <c r="H3" t="s">
        <v>48</v>
      </c>
      <c r="I3" t="s">
        <v>52</v>
      </c>
      <c r="K3">
        <v>0.86011947162646374</v>
      </c>
      <c r="L3">
        <v>0.89718576869840994</v>
      </c>
    </row>
    <row r="4" spans="1:12">
      <c r="A4" s="2">
        <v>45979</v>
      </c>
      <c r="B4" t="s">
        <v>44</v>
      </c>
      <c r="C4">
        <v>63563</v>
      </c>
      <c r="D4">
        <v>1522</v>
      </c>
      <c r="E4" t="s">
        <v>53</v>
      </c>
      <c r="F4" t="s">
        <v>46</v>
      </c>
      <c r="H4" t="s">
        <v>54</v>
      </c>
      <c r="I4" t="s">
        <v>55</v>
      </c>
      <c r="K4">
        <v>0.8163861027216095</v>
      </c>
      <c r="L4">
        <v>0.80689849342401632</v>
      </c>
    </row>
    <row r="5" spans="1:12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H5" t="s">
        <v>54</v>
      </c>
      <c r="I5" t="s">
        <v>58</v>
      </c>
      <c r="K5">
        <v>0.80394594662233576</v>
      </c>
      <c r="L5">
        <v>0.760590705801236</v>
      </c>
    </row>
    <row r="6" spans="1:12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H6" t="s">
        <v>54</v>
      </c>
      <c r="I6" t="s">
        <v>61</v>
      </c>
      <c r="K6">
        <v>0.75320763638427768</v>
      </c>
      <c r="L6">
        <v>0.75665129922359409</v>
      </c>
    </row>
    <row r="7" spans="1:12">
      <c r="A7" s="2">
        <v>45980</v>
      </c>
      <c r="B7" t="s">
        <v>44</v>
      </c>
      <c r="C7">
        <v>63564</v>
      </c>
      <c r="D7">
        <v>1525</v>
      </c>
      <c r="E7" t="s">
        <v>62</v>
      </c>
      <c r="F7" t="s">
        <v>46</v>
      </c>
      <c r="H7" t="s">
        <v>54</v>
      </c>
      <c r="K7">
        <v>0.80272729746507898</v>
      </c>
      <c r="L7">
        <v>0.80115065917360573</v>
      </c>
    </row>
    <row r="8" spans="1:12">
      <c r="A8" s="2">
        <v>45980</v>
      </c>
      <c r="B8" t="s">
        <v>44</v>
      </c>
      <c r="C8">
        <v>63565</v>
      </c>
      <c r="D8">
        <v>1526</v>
      </c>
      <c r="E8" t="s">
        <v>63</v>
      </c>
      <c r="F8" t="s">
        <v>46</v>
      </c>
      <c r="H8" t="s">
        <v>48</v>
      </c>
      <c r="K8">
        <v>0.74304893249825044</v>
      </c>
      <c r="L8">
        <v>0.75221964810248676</v>
      </c>
    </row>
    <row r="9" spans="1:12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H9" t="s">
        <v>48</v>
      </c>
      <c r="K9">
        <v>0.83196388063912197</v>
      </c>
      <c r="L9">
        <v>0.87317797088860627</v>
      </c>
    </row>
    <row r="10" spans="1:12">
      <c r="A10" s="2">
        <v>45981</v>
      </c>
      <c r="B10" t="s">
        <v>44</v>
      </c>
      <c r="C10">
        <v>63552</v>
      </c>
      <c r="D10">
        <v>1528</v>
      </c>
      <c r="E10" t="s">
        <v>51</v>
      </c>
      <c r="F10" t="s">
        <v>65</v>
      </c>
      <c r="H10" t="s">
        <v>48</v>
      </c>
      <c r="I10" t="s">
        <v>66</v>
      </c>
      <c r="K10">
        <v>0.78632403159173536</v>
      </c>
      <c r="L10">
        <v>0.8087111209003095</v>
      </c>
    </row>
    <row r="11" spans="1:12">
      <c r="A11" s="2">
        <v>45981</v>
      </c>
      <c r="B11" t="s">
        <v>44</v>
      </c>
      <c r="C11">
        <v>63553</v>
      </c>
      <c r="D11">
        <v>1529</v>
      </c>
      <c r="E11" t="s">
        <v>53</v>
      </c>
      <c r="F11" t="s">
        <v>65</v>
      </c>
      <c r="H11" t="s">
        <v>54</v>
      </c>
      <c r="I11" t="s">
        <v>67</v>
      </c>
      <c r="K11">
        <v>0.75298613900665456</v>
      </c>
      <c r="L11">
        <v>0.75973183343878825</v>
      </c>
    </row>
    <row r="12" spans="1:12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H12" t="s">
        <v>54</v>
      </c>
      <c r="K12">
        <v>0.79436078467678761</v>
      </c>
      <c r="L12">
        <v>0.756266815205071</v>
      </c>
    </row>
    <row r="13" spans="1:12">
      <c r="A13" s="2">
        <v>45985</v>
      </c>
      <c r="B13" t="s">
        <v>69</v>
      </c>
      <c r="C13">
        <v>63550</v>
      </c>
      <c r="D13">
        <v>1531</v>
      </c>
      <c r="E13" t="s">
        <v>68</v>
      </c>
      <c r="F13" t="s">
        <v>65</v>
      </c>
      <c r="H13" t="s">
        <v>54</v>
      </c>
      <c r="K13">
        <v>0.88546527654653784</v>
      </c>
      <c r="L13">
        <v>0.92673152503642942</v>
      </c>
    </row>
    <row r="14" spans="1:12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H14" t="s">
        <v>54</v>
      </c>
      <c r="I14" t="s">
        <v>73</v>
      </c>
      <c r="K14">
        <v>0.73507606426570093</v>
      </c>
      <c r="L14">
        <v>0.76716738211832802</v>
      </c>
    </row>
    <row r="15" spans="1:12">
      <c r="A15" s="2">
        <v>45985</v>
      </c>
      <c r="B15" t="s">
        <v>69</v>
      </c>
      <c r="C15">
        <v>63550</v>
      </c>
      <c r="D15">
        <v>1533</v>
      </c>
      <c r="E15" t="s">
        <v>74</v>
      </c>
      <c r="F15" t="s">
        <v>65</v>
      </c>
      <c r="H15" t="s">
        <v>54</v>
      </c>
      <c r="K15" s="4"/>
      <c r="L15" s="4"/>
    </row>
    <row r="16" spans="1:12">
      <c r="A16" s="2">
        <v>45985</v>
      </c>
      <c r="B16" t="s">
        <v>44</v>
      </c>
      <c r="C16">
        <v>63551</v>
      </c>
      <c r="D16">
        <v>1534</v>
      </c>
      <c r="E16" t="s">
        <v>76</v>
      </c>
      <c r="F16" t="s">
        <v>65</v>
      </c>
      <c r="H16" t="s">
        <v>48</v>
      </c>
      <c r="I16" t="s">
        <v>77</v>
      </c>
      <c r="K16">
        <v>0.75454746611260703</v>
      </c>
      <c r="L16">
        <v>0.76369688825071291</v>
      </c>
    </row>
    <row r="17" spans="1:12">
      <c r="A17" s="2">
        <v>46000</v>
      </c>
      <c r="B17" t="s">
        <v>69</v>
      </c>
      <c r="C17">
        <v>63542</v>
      </c>
      <c r="D17">
        <v>1536</v>
      </c>
      <c r="E17" t="s">
        <v>78</v>
      </c>
      <c r="F17" t="s">
        <v>65</v>
      </c>
      <c r="H17" t="s">
        <v>48</v>
      </c>
      <c r="I17" t="s">
        <v>79</v>
      </c>
      <c r="K17">
        <v>0.63972819194967734</v>
      </c>
      <c r="L17">
        <v>0.66861833646844759</v>
      </c>
    </row>
    <row r="18" spans="1:12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H18" t="s">
        <v>54</v>
      </c>
      <c r="I18" t="s">
        <v>81</v>
      </c>
      <c r="K18">
        <v>0.90594709346761515</v>
      </c>
      <c r="L18">
        <v>0.86601634251491744</v>
      </c>
    </row>
    <row r="19" spans="1:12">
      <c r="A19" s="2">
        <v>46000</v>
      </c>
      <c r="B19" t="s">
        <v>69</v>
      </c>
      <c r="C19">
        <v>63543</v>
      </c>
      <c r="D19">
        <v>1538</v>
      </c>
      <c r="E19" t="s">
        <v>82</v>
      </c>
      <c r="F19" t="s">
        <v>65</v>
      </c>
      <c r="H19" t="s">
        <v>54</v>
      </c>
      <c r="I19" t="s">
        <v>83</v>
      </c>
      <c r="K19">
        <v>0.67506567409620155</v>
      </c>
      <c r="L19">
        <v>0.66289996373118487</v>
      </c>
    </row>
    <row r="20" spans="1:12">
      <c r="A20" s="2">
        <v>46000</v>
      </c>
      <c r="B20" t="s">
        <v>44</v>
      </c>
      <c r="C20">
        <v>63543</v>
      </c>
      <c r="D20">
        <v>1539</v>
      </c>
      <c r="E20" t="s">
        <v>84</v>
      </c>
      <c r="F20" t="s">
        <v>65</v>
      </c>
      <c r="H20" t="s">
        <v>54</v>
      </c>
      <c r="I20" t="s">
        <v>85</v>
      </c>
      <c r="K20">
        <v>0.83172399905837069</v>
      </c>
      <c r="L20">
        <v>0.80383052663650811</v>
      </c>
    </row>
    <row r="21" spans="1:12">
      <c r="A21" s="2">
        <v>46001</v>
      </c>
      <c r="B21" t="s">
        <v>69</v>
      </c>
      <c r="C21">
        <v>63558</v>
      </c>
      <c r="D21">
        <v>1540</v>
      </c>
      <c r="E21" t="s">
        <v>86</v>
      </c>
      <c r="F21" t="s">
        <v>46</v>
      </c>
      <c r="H21" t="s">
        <v>54</v>
      </c>
      <c r="K21">
        <v>0.85124526171129489</v>
      </c>
      <c r="L21">
        <v>0.89595994269644397</v>
      </c>
    </row>
    <row r="22" spans="1:12">
      <c r="A22" s="2">
        <v>46001</v>
      </c>
      <c r="B22" t="s">
        <v>69</v>
      </c>
      <c r="C22">
        <v>63559</v>
      </c>
      <c r="D22">
        <v>1541</v>
      </c>
      <c r="E22" t="s">
        <v>87</v>
      </c>
      <c r="F22" t="s">
        <v>46</v>
      </c>
      <c r="H22" t="s">
        <v>48</v>
      </c>
      <c r="I22" t="s">
        <v>88</v>
      </c>
      <c r="K22">
        <v>0.78589572430856536</v>
      </c>
      <c r="L22">
        <v>0.81346886411571639</v>
      </c>
    </row>
    <row r="23" spans="1:12">
      <c r="A23" s="2">
        <v>46001</v>
      </c>
      <c r="B23" t="s">
        <v>90</v>
      </c>
      <c r="C23">
        <v>63559</v>
      </c>
      <c r="D23">
        <v>1542</v>
      </c>
      <c r="E23" t="s">
        <v>91</v>
      </c>
      <c r="F23" t="s">
        <v>46</v>
      </c>
      <c r="H23" t="s">
        <v>48</v>
      </c>
      <c r="K23">
        <v>0.94246605758330815</v>
      </c>
      <c r="L23">
        <v>0.91781984839614883</v>
      </c>
    </row>
    <row r="24" spans="1:12">
      <c r="A24" s="2">
        <v>46002</v>
      </c>
      <c r="B24" t="s">
        <v>69</v>
      </c>
      <c r="C24">
        <v>63560</v>
      </c>
      <c r="D24">
        <v>1543</v>
      </c>
      <c r="E24" t="s">
        <v>93</v>
      </c>
      <c r="F24" t="s">
        <v>46</v>
      </c>
      <c r="H24" t="s">
        <v>54</v>
      </c>
      <c r="I24" t="s">
        <v>94</v>
      </c>
      <c r="K24">
        <v>0.89332475138247058</v>
      </c>
      <c r="L24">
        <v>0.91844078002584073</v>
      </c>
    </row>
    <row r="25" spans="1:12">
      <c r="A25" s="2">
        <v>46002</v>
      </c>
      <c r="B25" t="s">
        <v>69</v>
      </c>
      <c r="C25">
        <v>63561</v>
      </c>
      <c r="D25">
        <v>1544</v>
      </c>
      <c r="E25" t="s">
        <v>95</v>
      </c>
      <c r="F25" t="s">
        <v>46</v>
      </c>
      <c r="H25" t="s">
        <v>48</v>
      </c>
      <c r="I25" t="s">
        <v>96</v>
      </c>
      <c r="K25">
        <v>0.86686166158166289</v>
      </c>
      <c r="L25">
        <v>0.96864244595460613</v>
      </c>
    </row>
    <row r="26" spans="1:12">
      <c r="A26" s="2">
        <v>46002</v>
      </c>
      <c r="B26" t="s">
        <v>44</v>
      </c>
      <c r="C26">
        <v>63561</v>
      </c>
      <c r="D26">
        <v>1545</v>
      </c>
      <c r="E26" t="s">
        <v>97</v>
      </c>
      <c r="F26" t="s">
        <v>46</v>
      </c>
      <c r="H26" t="s">
        <v>48</v>
      </c>
      <c r="K26">
        <v>0.83981793808677641</v>
      </c>
      <c r="L26">
        <v>0.86697417938095434</v>
      </c>
    </row>
    <row r="27" spans="1:12">
      <c r="A27" s="2">
        <v>46002</v>
      </c>
      <c r="B27" t="s">
        <v>90</v>
      </c>
      <c r="C27">
        <v>63560</v>
      </c>
      <c r="D27">
        <v>1546</v>
      </c>
      <c r="F27" t="s">
        <v>46</v>
      </c>
      <c r="H27" t="s">
        <v>48</v>
      </c>
      <c r="K27">
        <v>0.8994595901294411</v>
      </c>
      <c r="L27">
        <v>0.96171533987949243</v>
      </c>
    </row>
    <row r="28" spans="1:12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H28" t="s">
        <v>54</v>
      </c>
      <c r="I28" t="s">
        <v>100</v>
      </c>
      <c r="K28">
        <v>0.84208810616014174</v>
      </c>
      <c r="L28">
        <v>0.81405785723012136</v>
      </c>
    </row>
    <row r="29" spans="1:12">
      <c r="A29" s="2">
        <v>46003</v>
      </c>
      <c r="B29" t="s">
        <v>101</v>
      </c>
      <c r="C29">
        <v>63544</v>
      </c>
      <c r="D29">
        <v>1548</v>
      </c>
      <c r="E29" t="s">
        <v>102</v>
      </c>
      <c r="F29" t="s">
        <v>65</v>
      </c>
      <c r="H29" t="s">
        <v>54</v>
      </c>
      <c r="I29" t="s">
        <v>103</v>
      </c>
      <c r="K29">
        <v>0.83159009402373507</v>
      </c>
      <c r="L29">
        <v>0.86592638954108914</v>
      </c>
    </row>
    <row r="30" spans="1:12">
      <c r="A30" s="2">
        <v>46003</v>
      </c>
      <c r="B30" t="s">
        <v>90</v>
      </c>
      <c r="C30">
        <v>63544</v>
      </c>
      <c r="D30">
        <v>1549</v>
      </c>
      <c r="E30" t="s">
        <v>104</v>
      </c>
      <c r="F30" t="s">
        <v>65</v>
      </c>
      <c r="H30" t="s">
        <v>54</v>
      </c>
      <c r="K30">
        <v>0.85559334508832219</v>
      </c>
      <c r="L30">
        <v>0.84205345853443692</v>
      </c>
    </row>
    <row r="31" spans="1:12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H31" t="s">
        <v>48</v>
      </c>
      <c r="I31" t="s">
        <v>106</v>
      </c>
      <c r="K31">
        <v>0.74197349285521774</v>
      </c>
      <c r="L31">
        <v>0.68946154109675417</v>
      </c>
    </row>
    <row r="32" spans="1:12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H32" t="s">
        <v>108</v>
      </c>
      <c r="I32" t="s">
        <v>109</v>
      </c>
      <c r="K32">
        <v>0.80892512621901635</v>
      </c>
      <c r="L32">
        <v>0.82166703397737662</v>
      </c>
    </row>
    <row r="33" spans="1:13">
      <c r="A33" s="2">
        <v>46003</v>
      </c>
      <c r="B33" t="s">
        <v>90</v>
      </c>
      <c r="C33">
        <v>63545</v>
      </c>
      <c r="D33">
        <v>1552</v>
      </c>
      <c r="E33" t="s">
        <v>110</v>
      </c>
      <c r="F33" t="s">
        <v>65</v>
      </c>
      <c r="H33" t="s">
        <v>48</v>
      </c>
      <c r="K33">
        <v>0.846882145806233</v>
      </c>
      <c r="L33">
        <v>0.89263797981230963</v>
      </c>
    </row>
    <row r="34" spans="1:13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H34" t="s">
        <v>48</v>
      </c>
      <c r="K34">
        <v>0.72582323547952388</v>
      </c>
      <c r="L34">
        <v>0.74604644293186262</v>
      </c>
    </row>
    <row r="35" spans="1:13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H35" t="s">
        <v>48</v>
      </c>
      <c r="K35">
        <v>0.88825014304306138</v>
      </c>
      <c r="L35">
        <v>0.92654145620699202</v>
      </c>
    </row>
    <row r="36" spans="1:13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H36" t="s">
        <v>48</v>
      </c>
      <c r="I36" t="s">
        <v>112</v>
      </c>
      <c r="K36">
        <v>0.83343012291893492</v>
      </c>
      <c r="L36">
        <v>0.83179354237847614</v>
      </c>
    </row>
    <row r="37" spans="1:13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H37" t="s">
        <v>48</v>
      </c>
      <c r="K37">
        <v>0.86624595288850759</v>
      </c>
      <c r="L37">
        <v>0.637712930874482</v>
      </c>
    </row>
    <row r="38" spans="1:13">
      <c r="A38" s="2">
        <v>46007</v>
      </c>
      <c r="B38" t="s">
        <v>90</v>
      </c>
      <c r="C38">
        <v>63549</v>
      </c>
      <c r="D38">
        <v>1557</v>
      </c>
      <c r="E38" t="s">
        <v>114</v>
      </c>
      <c r="F38" t="s">
        <v>65</v>
      </c>
      <c r="H38" t="s">
        <v>48</v>
      </c>
      <c r="I38" t="s">
        <v>115</v>
      </c>
      <c r="K38">
        <v>0.75295792990759391</v>
      </c>
      <c r="L38">
        <v>0.7525035934811245</v>
      </c>
    </row>
    <row r="39" spans="1:13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H39" t="s">
        <v>54</v>
      </c>
      <c r="K39">
        <v>0.76297505033241375</v>
      </c>
      <c r="L39">
        <v>0.8019236271480461</v>
      </c>
      <c r="M39" t="s">
        <v>264</v>
      </c>
    </row>
    <row r="40" spans="1:13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H40" t="s">
        <v>54</v>
      </c>
      <c r="K40">
        <v>0.87680707923854162</v>
      </c>
      <c r="L40">
        <v>0.86909718447604478</v>
      </c>
    </row>
    <row r="41" spans="1:13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H41" t="s">
        <v>54</v>
      </c>
      <c r="I41" t="s">
        <v>119</v>
      </c>
      <c r="K41">
        <v>0.86200134415189222</v>
      </c>
      <c r="L41">
        <v>0.82295652713322764</v>
      </c>
      <c r="M41" t="s">
        <v>264</v>
      </c>
    </row>
    <row r="42" spans="1:13">
      <c r="A42" s="2">
        <v>46007</v>
      </c>
      <c r="B42" t="s">
        <v>90</v>
      </c>
      <c r="C42">
        <v>63546</v>
      </c>
      <c r="D42">
        <v>1561</v>
      </c>
      <c r="E42" t="s">
        <v>120</v>
      </c>
      <c r="F42" t="s">
        <v>65</v>
      </c>
      <c r="H42" t="s">
        <v>54</v>
      </c>
      <c r="I42" t="s">
        <v>121</v>
      </c>
      <c r="K42">
        <v>0.87021441730745519</v>
      </c>
      <c r="L42">
        <v>0.89041120310166066</v>
      </c>
      <c r="M42" t="s">
        <v>264</v>
      </c>
    </row>
    <row r="43" spans="1:13">
      <c r="A43" s="2">
        <v>46008</v>
      </c>
      <c r="B43" t="s">
        <v>90</v>
      </c>
      <c r="C43">
        <v>63554</v>
      </c>
      <c r="D43">
        <v>1562</v>
      </c>
      <c r="E43" t="s">
        <v>91</v>
      </c>
      <c r="F43" t="s">
        <v>46</v>
      </c>
      <c r="H43" t="s">
        <v>54</v>
      </c>
      <c r="K43">
        <v>0.70549976818645799</v>
      </c>
      <c r="L43">
        <v>0.92985168424505504</v>
      </c>
      <c r="M43" t="s">
        <v>264</v>
      </c>
    </row>
    <row r="44" spans="1:13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H44" t="s">
        <v>54</v>
      </c>
      <c r="I44" t="s">
        <v>123</v>
      </c>
      <c r="K44">
        <v>0.80211747096002717</v>
      </c>
      <c r="L44">
        <v>0.77758590790616178</v>
      </c>
    </row>
    <row r="45" spans="1:13">
      <c r="A45" s="2">
        <v>46008</v>
      </c>
      <c r="B45" t="s">
        <v>44</v>
      </c>
      <c r="C45">
        <v>63554</v>
      </c>
      <c r="D45">
        <v>1564</v>
      </c>
      <c r="E45" t="s">
        <v>124</v>
      </c>
      <c r="F45" t="s">
        <v>46</v>
      </c>
      <c r="H45" t="s">
        <v>54</v>
      </c>
      <c r="I45" t="s">
        <v>125</v>
      </c>
      <c r="K45">
        <v>0.8713472458661673</v>
      </c>
      <c r="L45">
        <v>0.8730468380590295</v>
      </c>
    </row>
    <row r="46" spans="1:13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H46" t="s">
        <v>48</v>
      </c>
      <c r="I46" t="s">
        <v>127</v>
      </c>
      <c r="K46">
        <v>0.83084351400441081</v>
      </c>
      <c r="L46">
        <v>0.72890779085812618</v>
      </c>
    </row>
    <row r="47" spans="1:13">
      <c r="A47" s="2">
        <v>46008</v>
      </c>
      <c r="B47" t="s">
        <v>90</v>
      </c>
      <c r="C47">
        <v>63555</v>
      </c>
      <c r="D47">
        <v>1566</v>
      </c>
      <c r="E47" t="s">
        <v>104</v>
      </c>
      <c r="F47" t="s">
        <v>46</v>
      </c>
      <c r="H47" t="s">
        <v>48</v>
      </c>
      <c r="K47">
        <v>0.92483817023823689</v>
      </c>
      <c r="L47">
        <v>0.93520474431563549</v>
      </c>
    </row>
    <row r="48" spans="1:13">
      <c r="A48" s="2">
        <v>46008</v>
      </c>
      <c r="B48" t="s">
        <v>90</v>
      </c>
      <c r="C48">
        <v>63555</v>
      </c>
      <c r="D48">
        <v>1567</v>
      </c>
      <c r="E48" t="s">
        <v>110</v>
      </c>
      <c r="F48" t="s">
        <v>46</v>
      </c>
      <c r="H48" t="s">
        <v>48</v>
      </c>
      <c r="K48">
        <v>0.94726741905718459</v>
      </c>
      <c r="L48">
        <v>0.93975326824965699</v>
      </c>
    </row>
    <row r="49" spans="1:13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H49" t="s">
        <v>54</v>
      </c>
      <c r="K49">
        <v>0.8208624246115821</v>
      </c>
      <c r="L49">
        <v>0.85686092864697039</v>
      </c>
    </row>
    <row r="50" spans="1:13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H50" t="s">
        <v>54</v>
      </c>
      <c r="K50">
        <v>0.82256743603197857</v>
      </c>
      <c r="L50">
        <v>0.82170196467896128</v>
      </c>
    </row>
    <row r="51" spans="1:13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H51" t="s">
        <v>54</v>
      </c>
      <c r="I51" t="s">
        <v>130</v>
      </c>
      <c r="K51">
        <v>0.86544383403066627</v>
      </c>
      <c r="L51">
        <v>0.86029648501857636</v>
      </c>
    </row>
    <row r="52" spans="1:13">
      <c r="A52" s="2">
        <v>46009</v>
      </c>
      <c r="B52" t="s">
        <v>44</v>
      </c>
      <c r="C52">
        <v>63556</v>
      </c>
      <c r="D52">
        <v>1571</v>
      </c>
      <c r="E52" t="s">
        <v>120</v>
      </c>
      <c r="F52" t="s">
        <v>46</v>
      </c>
      <c r="H52" t="s">
        <v>54</v>
      </c>
      <c r="K52">
        <v>0.81997144452564863</v>
      </c>
      <c r="L52">
        <v>0.86889953485173588</v>
      </c>
    </row>
    <row r="53" spans="1:13">
      <c r="A53" s="2">
        <v>46009</v>
      </c>
      <c r="B53" t="s">
        <v>44</v>
      </c>
      <c r="C53">
        <v>63557</v>
      </c>
      <c r="D53">
        <v>1572</v>
      </c>
      <c r="E53" t="s">
        <v>131</v>
      </c>
      <c r="F53" t="s">
        <v>46</v>
      </c>
      <c r="H53" t="s">
        <v>48</v>
      </c>
      <c r="I53" t="s">
        <v>132</v>
      </c>
      <c r="K53">
        <v>0.86465280809904377</v>
      </c>
      <c r="L53">
        <v>0.85697327181295269</v>
      </c>
    </row>
    <row r="54" spans="1:13">
      <c r="A54" s="2">
        <v>46010</v>
      </c>
      <c r="B54" t="s">
        <v>69</v>
      </c>
      <c r="C54">
        <v>63547</v>
      </c>
      <c r="D54">
        <v>1573</v>
      </c>
      <c r="E54" t="s">
        <v>133</v>
      </c>
      <c r="F54" t="s">
        <v>65</v>
      </c>
      <c r="H54" t="s">
        <v>48</v>
      </c>
      <c r="I54" t="s">
        <v>134</v>
      </c>
      <c r="K54">
        <v>0.85087808455599467</v>
      </c>
      <c r="L54">
        <v>0.94473628683552158</v>
      </c>
      <c r="M54" t="s">
        <v>264</v>
      </c>
    </row>
    <row r="55" spans="1:13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H55" t="s">
        <v>54</v>
      </c>
      <c r="I55" t="s">
        <v>135</v>
      </c>
      <c r="K55">
        <v>0.88279535212951599</v>
      </c>
      <c r="L55">
        <v>0.88342349055866876</v>
      </c>
    </row>
    <row r="56" spans="1:13">
      <c r="A56" s="2">
        <v>46010</v>
      </c>
      <c r="B56" t="s">
        <v>90</v>
      </c>
      <c r="C56">
        <v>63548</v>
      </c>
      <c r="D56">
        <v>1575</v>
      </c>
      <c r="E56" t="s">
        <v>87</v>
      </c>
      <c r="F56" t="s">
        <v>65</v>
      </c>
      <c r="H56" t="s">
        <v>54</v>
      </c>
      <c r="I56" t="s">
        <v>136</v>
      </c>
      <c r="K56">
        <v>0.91585539741540156</v>
      </c>
      <c r="L56">
        <v>0.9372765858678147</v>
      </c>
    </row>
    <row r="57" spans="1:13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H57" t="s">
        <v>54</v>
      </c>
      <c r="I57" t="s">
        <v>138</v>
      </c>
      <c r="K57">
        <v>0.84413825615420057</v>
      </c>
      <c r="L57">
        <v>0.89307108943046631</v>
      </c>
    </row>
    <row r="58" spans="1:13">
      <c r="A58" s="2">
        <v>46010</v>
      </c>
      <c r="B58" t="s">
        <v>90</v>
      </c>
      <c r="C58">
        <v>63548</v>
      </c>
      <c r="D58">
        <v>1577</v>
      </c>
      <c r="E58" t="s">
        <v>110</v>
      </c>
      <c r="F58" t="s">
        <v>65</v>
      </c>
      <c r="H58" t="s">
        <v>54</v>
      </c>
      <c r="I58" t="s">
        <v>139</v>
      </c>
      <c r="K58">
        <v>0.82661004332558718</v>
      </c>
      <c r="L58">
        <v>0.87113476176377513</v>
      </c>
    </row>
    <row r="59" spans="1:13">
      <c r="A59" s="2">
        <v>46028</v>
      </c>
      <c r="B59" t="s">
        <v>44</v>
      </c>
      <c r="C59">
        <v>64063</v>
      </c>
      <c r="D59">
        <v>1578</v>
      </c>
      <c r="E59" t="s">
        <v>140</v>
      </c>
      <c r="F59" t="s">
        <v>46</v>
      </c>
      <c r="H59" t="s">
        <v>258</v>
      </c>
      <c r="I59" t="s">
        <v>141</v>
      </c>
      <c r="K59">
        <v>0.78296536589751042</v>
      </c>
      <c r="L59">
        <v>0.812913829230417</v>
      </c>
    </row>
    <row r="60" spans="1:13">
      <c r="A60" s="2">
        <v>46028</v>
      </c>
      <c r="B60" t="s">
        <v>44</v>
      </c>
      <c r="C60">
        <v>64063</v>
      </c>
      <c r="D60">
        <v>1579</v>
      </c>
      <c r="E60" t="s">
        <v>142</v>
      </c>
      <c r="F60" t="s">
        <v>46</v>
      </c>
      <c r="H60" t="s">
        <v>258</v>
      </c>
      <c r="I60" t="s">
        <v>143</v>
      </c>
      <c r="K60">
        <v>0.80192318621803205</v>
      </c>
      <c r="L60">
        <v>0.81302909920577737</v>
      </c>
    </row>
    <row r="61" spans="1:13">
      <c r="A61" s="2">
        <v>46028</v>
      </c>
      <c r="B61" t="s">
        <v>44</v>
      </c>
      <c r="C61">
        <v>64064</v>
      </c>
      <c r="D61">
        <v>1580</v>
      </c>
      <c r="E61" t="s">
        <v>144</v>
      </c>
      <c r="F61" t="s">
        <v>46</v>
      </c>
      <c r="H61" t="s">
        <v>259</v>
      </c>
      <c r="K61">
        <v>0.76389269378738833</v>
      </c>
      <c r="L61">
        <v>0.81224860414981737</v>
      </c>
    </row>
    <row r="62" spans="1:13">
      <c r="A62" s="2">
        <v>46028</v>
      </c>
      <c r="B62" t="s">
        <v>44</v>
      </c>
      <c r="C62">
        <v>64064</v>
      </c>
      <c r="D62">
        <v>1581</v>
      </c>
      <c r="E62" t="s">
        <v>145</v>
      </c>
      <c r="F62" t="s">
        <v>46</v>
      </c>
      <c r="H62" t="s">
        <v>259</v>
      </c>
      <c r="K62">
        <v>0.82982279895744127</v>
      </c>
      <c r="L62">
        <v>0.88821794770545126</v>
      </c>
    </row>
    <row r="63" spans="1:13">
      <c r="A63" s="2">
        <v>46028</v>
      </c>
      <c r="B63" t="s">
        <v>90</v>
      </c>
      <c r="C63">
        <v>64064</v>
      </c>
      <c r="D63">
        <v>1582</v>
      </c>
      <c r="E63" t="s">
        <v>102</v>
      </c>
      <c r="F63" t="s">
        <v>46</v>
      </c>
      <c r="H63" t="s">
        <v>259</v>
      </c>
      <c r="K63">
        <v>0.80611512021922382</v>
      </c>
      <c r="L63">
        <v>0.68332136041032476</v>
      </c>
    </row>
    <row r="64" spans="1:13">
      <c r="A64" s="2">
        <v>46030</v>
      </c>
      <c r="B64" t="s">
        <v>44</v>
      </c>
      <c r="C64">
        <v>64055</v>
      </c>
      <c r="D64">
        <v>1583</v>
      </c>
      <c r="E64" t="s">
        <v>99</v>
      </c>
      <c r="F64" t="s">
        <v>65</v>
      </c>
      <c r="H64" t="s">
        <v>258</v>
      </c>
      <c r="I64" t="s">
        <v>147</v>
      </c>
      <c r="K64">
        <v>0.88549319548591388</v>
      </c>
      <c r="L64">
        <v>0.89191652921892672</v>
      </c>
    </row>
    <row r="65" spans="1:12">
      <c r="A65" s="2">
        <v>46030</v>
      </c>
      <c r="B65" t="s">
        <v>44</v>
      </c>
      <c r="C65">
        <v>64056</v>
      </c>
      <c r="D65">
        <v>1584</v>
      </c>
      <c r="E65" t="s">
        <v>148</v>
      </c>
      <c r="F65" t="s">
        <v>65</v>
      </c>
      <c r="H65" t="s">
        <v>259</v>
      </c>
      <c r="K65">
        <v>0.82377353709619583</v>
      </c>
      <c r="L65">
        <v>0.77773935993067345</v>
      </c>
    </row>
    <row r="66" spans="1:12">
      <c r="A66" s="2">
        <v>46030</v>
      </c>
      <c r="B66" t="s">
        <v>69</v>
      </c>
      <c r="C66">
        <v>64056</v>
      </c>
      <c r="D66">
        <v>1585</v>
      </c>
      <c r="E66" t="s">
        <v>149</v>
      </c>
      <c r="F66" t="s">
        <v>65</v>
      </c>
      <c r="H66" t="s">
        <v>259</v>
      </c>
      <c r="K66">
        <v>0.72032225740377465</v>
      </c>
      <c r="L66">
        <v>0.7589173702902583</v>
      </c>
    </row>
    <row r="67" spans="1:12">
      <c r="A67" s="2">
        <v>46030</v>
      </c>
      <c r="B67" t="s">
        <v>90</v>
      </c>
      <c r="C67">
        <v>64056</v>
      </c>
      <c r="D67">
        <v>1586</v>
      </c>
      <c r="E67" t="s">
        <v>149</v>
      </c>
      <c r="F67" t="s">
        <v>65</v>
      </c>
      <c r="H67" t="s">
        <v>259</v>
      </c>
      <c r="K67">
        <v>0.84643434153346098</v>
      </c>
      <c r="L67">
        <v>0.8561034478331172</v>
      </c>
    </row>
    <row r="68" spans="1:12">
      <c r="A68" s="2">
        <v>46030</v>
      </c>
      <c r="B68" t="s">
        <v>90</v>
      </c>
      <c r="C68">
        <v>64056</v>
      </c>
      <c r="D68">
        <v>1587</v>
      </c>
      <c r="E68" t="s">
        <v>150</v>
      </c>
      <c r="F68" t="s">
        <v>65</v>
      </c>
      <c r="H68" t="s">
        <v>259</v>
      </c>
      <c r="I68" t="s">
        <v>151</v>
      </c>
      <c r="K68">
        <v>0.85623511283872955</v>
      </c>
      <c r="L68">
        <v>0.87273678998481108</v>
      </c>
    </row>
    <row r="69" spans="1:12">
      <c r="A69" s="2">
        <v>46031</v>
      </c>
      <c r="B69" t="s">
        <v>90</v>
      </c>
      <c r="C69">
        <v>64065</v>
      </c>
      <c r="D69">
        <v>1588</v>
      </c>
      <c r="E69" t="s">
        <v>68</v>
      </c>
      <c r="F69" t="s">
        <v>46</v>
      </c>
      <c r="H69" t="s">
        <v>259</v>
      </c>
      <c r="I69" t="s">
        <v>153</v>
      </c>
      <c r="K69">
        <v>0.73542855279643859</v>
      </c>
      <c r="L69">
        <v>0.82859952863890984</v>
      </c>
    </row>
    <row r="70" spans="1:12">
      <c r="A70" s="2">
        <v>46031</v>
      </c>
      <c r="B70" t="s">
        <v>44</v>
      </c>
      <c r="C70">
        <v>64065</v>
      </c>
      <c r="D70">
        <v>1589</v>
      </c>
      <c r="E70" t="s">
        <v>99</v>
      </c>
      <c r="F70" t="s">
        <v>46</v>
      </c>
      <c r="H70" t="s">
        <v>259</v>
      </c>
      <c r="K70">
        <v>0.84523767044813569</v>
      </c>
      <c r="L70">
        <v>0.85577987215142182</v>
      </c>
    </row>
    <row r="71" spans="1:12">
      <c r="A71" s="2">
        <v>46031</v>
      </c>
      <c r="B71" t="s">
        <v>44</v>
      </c>
      <c r="C71">
        <v>64065</v>
      </c>
      <c r="D71">
        <v>1590</v>
      </c>
      <c r="E71" t="s">
        <v>142</v>
      </c>
      <c r="F71" t="s">
        <v>46</v>
      </c>
      <c r="H71" t="s">
        <v>259</v>
      </c>
      <c r="I71" t="s">
        <v>155</v>
      </c>
      <c r="K71">
        <v>0.87056825731495102</v>
      </c>
      <c r="L71">
        <v>0.80534302889002918</v>
      </c>
    </row>
    <row r="72" spans="1:12">
      <c r="A72" s="2">
        <v>46031</v>
      </c>
      <c r="B72" t="s">
        <v>69</v>
      </c>
      <c r="C72">
        <v>64066</v>
      </c>
      <c r="D72">
        <v>1591</v>
      </c>
      <c r="E72" t="s">
        <v>99</v>
      </c>
      <c r="F72" t="s">
        <v>46</v>
      </c>
      <c r="H72" t="s">
        <v>258</v>
      </c>
      <c r="I72" t="s">
        <v>153</v>
      </c>
      <c r="K72">
        <v>0.72032225740377465</v>
      </c>
      <c r="L72">
        <v>0.7589173702902583</v>
      </c>
    </row>
    <row r="73" spans="1:12">
      <c r="A73" s="2">
        <v>46035</v>
      </c>
      <c r="B73" t="s">
        <v>44</v>
      </c>
      <c r="C73">
        <v>64059</v>
      </c>
      <c r="D73">
        <v>1592</v>
      </c>
      <c r="E73" t="s">
        <v>99</v>
      </c>
      <c r="F73" t="s">
        <v>65</v>
      </c>
      <c r="H73" t="s">
        <v>259</v>
      </c>
      <c r="I73" t="s">
        <v>156</v>
      </c>
      <c r="K73">
        <v>0.81422403727036119</v>
      </c>
      <c r="L73">
        <v>0.83459826863686881</v>
      </c>
    </row>
    <row r="74" spans="1:12">
      <c r="A74" s="2">
        <v>46035</v>
      </c>
      <c r="B74" t="s">
        <v>44</v>
      </c>
      <c r="C74">
        <v>64059</v>
      </c>
      <c r="D74">
        <v>1593</v>
      </c>
      <c r="E74" t="s">
        <v>142</v>
      </c>
      <c r="F74" t="s">
        <v>65</v>
      </c>
      <c r="H74" t="s">
        <v>259</v>
      </c>
      <c r="I74" t="s">
        <v>157</v>
      </c>
      <c r="K74">
        <v>0.78309974871718036</v>
      </c>
      <c r="L74">
        <v>0.77841790802907074</v>
      </c>
    </row>
    <row r="75" spans="1:12">
      <c r="A75" s="2">
        <v>46035</v>
      </c>
      <c r="B75" t="s">
        <v>158</v>
      </c>
      <c r="C75">
        <v>64059</v>
      </c>
      <c r="D75">
        <v>1594</v>
      </c>
      <c r="F75" t="s">
        <v>65</v>
      </c>
      <c r="H75" t="s">
        <v>259</v>
      </c>
      <c r="K75">
        <v>0.73652883308173311</v>
      </c>
      <c r="L75">
        <v>0.88155156026952675</v>
      </c>
    </row>
    <row r="76" spans="1:12">
      <c r="A76" s="2">
        <v>46035</v>
      </c>
      <c r="B76" t="s">
        <v>44</v>
      </c>
      <c r="C76">
        <v>64060</v>
      </c>
      <c r="D76">
        <v>1595</v>
      </c>
      <c r="E76" t="s">
        <v>159</v>
      </c>
      <c r="F76" t="s">
        <v>65</v>
      </c>
      <c r="H76" t="s">
        <v>258</v>
      </c>
      <c r="I76" t="s">
        <v>160</v>
      </c>
      <c r="K76">
        <v>0.7788132576550022</v>
      </c>
      <c r="L76">
        <v>0.7507787516802884</v>
      </c>
    </row>
    <row r="77" spans="1:12">
      <c r="A77" s="2">
        <v>46036</v>
      </c>
      <c r="B77" t="s">
        <v>44</v>
      </c>
      <c r="C77">
        <v>64057</v>
      </c>
      <c r="D77">
        <v>1596</v>
      </c>
      <c r="E77" t="s">
        <v>107</v>
      </c>
      <c r="F77" t="s">
        <v>65</v>
      </c>
      <c r="H77" t="s">
        <v>258</v>
      </c>
      <c r="I77" t="s">
        <v>161</v>
      </c>
      <c r="K77">
        <v>0.77307547103738661</v>
      </c>
      <c r="L77">
        <v>0.76813662545789363</v>
      </c>
    </row>
    <row r="78" spans="1:12">
      <c r="A78" s="2">
        <v>46036</v>
      </c>
      <c r="B78" t="s">
        <v>44</v>
      </c>
      <c r="C78">
        <v>64057</v>
      </c>
      <c r="D78">
        <v>1597</v>
      </c>
      <c r="E78" t="s">
        <v>116</v>
      </c>
      <c r="F78" t="s">
        <v>65</v>
      </c>
      <c r="H78" t="s">
        <v>258</v>
      </c>
      <c r="I78" t="s">
        <v>162</v>
      </c>
      <c r="K78">
        <v>0.92790466938155325</v>
      </c>
      <c r="L78">
        <v>0.84378512928853211</v>
      </c>
    </row>
    <row r="79" spans="1:12">
      <c r="A79" s="2">
        <v>46036</v>
      </c>
      <c r="B79" t="s">
        <v>44</v>
      </c>
      <c r="C79">
        <v>64058</v>
      </c>
      <c r="D79">
        <v>1598</v>
      </c>
      <c r="E79" t="s">
        <v>163</v>
      </c>
      <c r="F79" t="s">
        <v>65</v>
      </c>
      <c r="H79" t="s">
        <v>259</v>
      </c>
      <c r="I79" t="s">
        <v>164</v>
      </c>
      <c r="K79">
        <v>0.79243067558548619</v>
      </c>
      <c r="L79">
        <v>0.81842876676822263</v>
      </c>
    </row>
    <row r="80" spans="1:12">
      <c r="A80" s="2">
        <v>46036</v>
      </c>
      <c r="B80" t="s">
        <v>44</v>
      </c>
      <c r="C80">
        <v>64058</v>
      </c>
      <c r="D80">
        <v>1599</v>
      </c>
      <c r="E80" t="s">
        <v>165</v>
      </c>
      <c r="F80" t="s">
        <v>65</v>
      </c>
      <c r="H80" t="s">
        <v>259</v>
      </c>
      <c r="I80" t="s">
        <v>166</v>
      </c>
      <c r="K80">
        <v>0.76824633200669612</v>
      </c>
      <c r="L80">
        <v>0.77932736132510994</v>
      </c>
    </row>
    <row r="81" spans="1:12">
      <c r="A81" s="2">
        <v>46036</v>
      </c>
      <c r="B81" t="s">
        <v>44</v>
      </c>
      <c r="C81">
        <v>64058</v>
      </c>
      <c r="D81">
        <v>1600</v>
      </c>
      <c r="E81" t="s">
        <v>167</v>
      </c>
      <c r="F81" t="s">
        <v>65</v>
      </c>
      <c r="H81" t="s">
        <v>259</v>
      </c>
      <c r="I81" t="s">
        <v>168</v>
      </c>
      <c r="K81">
        <v>0.72828570735877118</v>
      </c>
      <c r="L81">
        <v>0.73628970227100476</v>
      </c>
    </row>
    <row r="82" spans="1:12">
      <c r="A82" s="2">
        <v>46037</v>
      </c>
      <c r="B82" t="s">
        <v>158</v>
      </c>
      <c r="C82">
        <v>64067</v>
      </c>
      <c r="D82">
        <v>1601</v>
      </c>
      <c r="F82" t="s">
        <v>46</v>
      </c>
      <c r="H82" t="s">
        <v>259</v>
      </c>
      <c r="K82">
        <v>0.83238778694540783</v>
      </c>
      <c r="L82">
        <v>0.86047271157317118</v>
      </c>
    </row>
    <row r="83" spans="1:12">
      <c r="A83" s="2">
        <v>46037</v>
      </c>
      <c r="B83" t="s">
        <v>69</v>
      </c>
      <c r="C83">
        <v>64067</v>
      </c>
      <c r="D83">
        <v>1602</v>
      </c>
      <c r="E83" t="s">
        <v>93</v>
      </c>
      <c r="F83" t="s">
        <v>46</v>
      </c>
      <c r="H83" t="s">
        <v>259</v>
      </c>
      <c r="I83" t="s">
        <v>169</v>
      </c>
      <c r="K83">
        <v>0.77585608076839951</v>
      </c>
      <c r="L83">
        <v>0.86548633076373793</v>
      </c>
    </row>
    <row r="84" spans="1:12">
      <c r="A84" s="2">
        <v>46037</v>
      </c>
      <c r="B84" t="s">
        <v>69</v>
      </c>
      <c r="C84">
        <v>64068</v>
      </c>
      <c r="D84">
        <v>1603</v>
      </c>
      <c r="E84" t="s">
        <v>170</v>
      </c>
      <c r="F84" t="s">
        <v>46</v>
      </c>
      <c r="H84" t="s">
        <v>258</v>
      </c>
      <c r="I84" t="s">
        <v>171</v>
      </c>
      <c r="K84">
        <v>0.89092237340075719</v>
      </c>
      <c r="L84">
        <v>0.87224303714293749</v>
      </c>
    </row>
    <row r="85" spans="1:12">
      <c r="A85" s="2">
        <v>46037</v>
      </c>
      <c r="B85" t="s">
        <v>69</v>
      </c>
      <c r="C85">
        <v>64068</v>
      </c>
      <c r="D85">
        <v>1604</v>
      </c>
      <c r="E85" t="s">
        <v>172</v>
      </c>
      <c r="F85" t="s">
        <v>46</v>
      </c>
      <c r="H85" t="s">
        <v>258</v>
      </c>
      <c r="I85" t="s">
        <v>173</v>
      </c>
      <c r="K85">
        <v>0.77837305465192208</v>
      </c>
      <c r="L85">
        <v>0.7785645385409119</v>
      </c>
    </row>
    <row r="86" spans="1:12">
      <c r="A86" s="2">
        <v>46038</v>
      </c>
      <c r="B86" t="s">
        <v>90</v>
      </c>
      <c r="C86">
        <v>64061</v>
      </c>
      <c r="D86">
        <v>1605</v>
      </c>
      <c r="E86" t="s">
        <v>174</v>
      </c>
      <c r="F86" t="s">
        <v>65</v>
      </c>
      <c r="H86" t="s">
        <v>258</v>
      </c>
      <c r="I86" t="s">
        <v>175</v>
      </c>
      <c r="K86">
        <v>0.93351189670817081</v>
      </c>
      <c r="L86">
        <v>0.53991964776487555</v>
      </c>
    </row>
    <row r="87" spans="1:12">
      <c r="A87" s="2">
        <v>46038</v>
      </c>
      <c r="B87" t="s">
        <v>44</v>
      </c>
      <c r="C87">
        <v>64061</v>
      </c>
      <c r="D87">
        <v>1606</v>
      </c>
      <c r="E87" t="s">
        <v>176</v>
      </c>
      <c r="F87" t="s">
        <v>65</v>
      </c>
      <c r="H87" t="s">
        <v>258</v>
      </c>
      <c r="I87" t="s">
        <v>151</v>
      </c>
      <c r="K87">
        <v>0.70551298416921471</v>
      </c>
      <c r="L87">
        <v>0.77558800511406356</v>
      </c>
    </row>
    <row r="88" spans="1:12">
      <c r="A88" s="2">
        <v>46038</v>
      </c>
      <c r="B88" t="s">
        <v>90</v>
      </c>
      <c r="C88">
        <v>64061</v>
      </c>
      <c r="D88">
        <v>1607</v>
      </c>
      <c r="E88" t="s">
        <v>177</v>
      </c>
      <c r="F88" t="s">
        <v>65</v>
      </c>
      <c r="H88" t="s">
        <v>258</v>
      </c>
      <c r="K88">
        <v>0.86712220033038545</v>
      </c>
      <c r="L88">
        <v>0.84700554141821616</v>
      </c>
    </row>
    <row r="89" spans="1:12">
      <c r="A89" s="2">
        <v>46038</v>
      </c>
      <c r="B89" t="s">
        <v>90</v>
      </c>
      <c r="C89">
        <v>64062</v>
      </c>
      <c r="D89">
        <v>1608</v>
      </c>
      <c r="E89" t="s">
        <v>178</v>
      </c>
      <c r="F89" t="s">
        <v>65</v>
      </c>
      <c r="H89" t="s">
        <v>258</v>
      </c>
      <c r="K89">
        <v>0.75228107524255683</v>
      </c>
      <c r="L89">
        <v>0.80447067328695643</v>
      </c>
    </row>
    <row r="90" spans="1:12">
      <c r="A90" s="2">
        <v>46038</v>
      </c>
      <c r="B90" t="s">
        <v>44</v>
      </c>
      <c r="C90">
        <v>64062</v>
      </c>
      <c r="D90">
        <v>1609</v>
      </c>
      <c r="E90" t="s">
        <v>142</v>
      </c>
      <c r="F90" t="s">
        <v>65</v>
      </c>
      <c r="H90" t="s">
        <v>259</v>
      </c>
      <c r="K90">
        <v>0.86283441752429391</v>
      </c>
      <c r="L90">
        <v>0.94115420403844441</v>
      </c>
    </row>
    <row r="91" spans="1:12">
      <c r="A91" s="2">
        <v>46038</v>
      </c>
      <c r="B91" t="s">
        <v>90</v>
      </c>
      <c r="C91">
        <v>64062</v>
      </c>
      <c r="D91">
        <v>1610</v>
      </c>
      <c r="E91" t="s">
        <v>179</v>
      </c>
      <c r="F91" t="s">
        <v>65</v>
      </c>
      <c r="H91" t="s">
        <v>259</v>
      </c>
      <c r="K91">
        <v>0.76576218383339878</v>
      </c>
      <c r="L91">
        <v>0.81227007544942875</v>
      </c>
    </row>
    <row r="92" spans="1:12">
      <c r="A92" s="2">
        <v>46038</v>
      </c>
      <c r="B92" t="s">
        <v>158</v>
      </c>
      <c r="C92">
        <v>64061</v>
      </c>
      <c r="D92">
        <v>1611</v>
      </c>
      <c r="F92" t="s">
        <v>65</v>
      </c>
      <c r="H92" t="s">
        <v>258</v>
      </c>
      <c r="K92">
        <v>0.80525506546555814</v>
      </c>
      <c r="L92">
        <v>1.0810053816552623</v>
      </c>
    </row>
    <row r="93" spans="1:12">
      <c r="A93" s="2">
        <v>46038</v>
      </c>
      <c r="B93" t="s">
        <v>90</v>
      </c>
      <c r="C93">
        <v>64062</v>
      </c>
      <c r="D93">
        <v>1612</v>
      </c>
      <c r="E93" t="s">
        <v>181</v>
      </c>
      <c r="F93" t="s">
        <v>65</v>
      </c>
      <c r="H93" t="s">
        <v>259</v>
      </c>
      <c r="K93">
        <v>0.90693398752952259</v>
      </c>
      <c r="L93">
        <v>0.91093475452583483</v>
      </c>
    </row>
    <row r="94" spans="1:12">
      <c r="A94" s="2">
        <v>46038</v>
      </c>
      <c r="B94" t="s">
        <v>44</v>
      </c>
      <c r="C94">
        <v>64062</v>
      </c>
      <c r="D94">
        <v>1613</v>
      </c>
      <c r="F94" t="s">
        <v>65</v>
      </c>
      <c r="H94" t="s">
        <v>259</v>
      </c>
      <c r="I94" t="s">
        <v>182</v>
      </c>
      <c r="K94">
        <v>0.81618558745400238</v>
      </c>
      <c r="L94">
        <v>0.86841231383925499</v>
      </c>
    </row>
    <row r="95" spans="1:12">
      <c r="A95" s="2">
        <v>46042</v>
      </c>
      <c r="B95" t="s">
        <v>69</v>
      </c>
      <c r="C95">
        <v>64069</v>
      </c>
      <c r="D95">
        <v>1614</v>
      </c>
      <c r="E95" t="s">
        <v>140</v>
      </c>
      <c r="F95" t="s">
        <v>46</v>
      </c>
      <c r="H95" t="s">
        <v>259</v>
      </c>
      <c r="I95" t="s">
        <v>183</v>
      </c>
      <c r="K95">
        <v>0.74897617080315881</v>
      </c>
      <c r="L95">
        <v>0.77974607006023144</v>
      </c>
    </row>
    <row r="96" spans="1:12">
      <c r="A96" s="2">
        <v>46042</v>
      </c>
      <c r="B96" t="s">
        <v>90</v>
      </c>
      <c r="C96">
        <v>64069</v>
      </c>
      <c r="D96">
        <v>1615</v>
      </c>
      <c r="E96" t="s">
        <v>140</v>
      </c>
      <c r="F96" t="s">
        <v>46</v>
      </c>
      <c r="H96" t="s">
        <v>259</v>
      </c>
      <c r="K96">
        <v>0.76198779449163978</v>
      </c>
      <c r="L96">
        <v>0.72873373522240015</v>
      </c>
    </row>
    <row r="97" spans="1:12">
      <c r="A97" s="2">
        <v>46042</v>
      </c>
      <c r="B97" t="s">
        <v>90</v>
      </c>
      <c r="C97">
        <v>64069</v>
      </c>
      <c r="D97">
        <v>1616</v>
      </c>
      <c r="E97" t="s">
        <v>142</v>
      </c>
      <c r="F97" t="s">
        <v>46</v>
      </c>
      <c r="H97" t="s">
        <v>259</v>
      </c>
      <c r="K97">
        <v>0.78808747034781568</v>
      </c>
      <c r="L97">
        <v>0.8112950314089562</v>
      </c>
    </row>
    <row r="98" spans="1:12">
      <c r="A98" s="2">
        <v>46042</v>
      </c>
      <c r="B98" t="s">
        <v>69</v>
      </c>
      <c r="C98">
        <v>64069</v>
      </c>
      <c r="D98">
        <v>1617</v>
      </c>
      <c r="E98" t="s">
        <v>148</v>
      </c>
      <c r="F98" t="s">
        <v>46</v>
      </c>
      <c r="H98" t="s">
        <v>259</v>
      </c>
      <c r="K98" s="50">
        <v>0.72594167316039804</v>
      </c>
      <c r="L98" s="50">
        <v>0.77147137560235768</v>
      </c>
    </row>
    <row r="99" spans="1:12">
      <c r="A99" s="2">
        <v>46042</v>
      </c>
      <c r="B99" t="s">
        <v>90</v>
      </c>
      <c r="C99">
        <v>64070</v>
      </c>
      <c r="D99">
        <v>1618</v>
      </c>
      <c r="E99" t="s">
        <v>184</v>
      </c>
      <c r="F99" t="s">
        <v>46</v>
      </c>
      <c r="H99" t="s">
        <v>258</v>
      </c>
      <c r="I99" t="s">
        <v>185</v>
      </c>
      <c r="K99">
        <v>0.66372752454753692</v>
      </c>
      <c r="L99">
        <v>0.70604901923380803</v>
      </c>
    </row>
    <row r="100" spans="1:12">
      <c r="A100" s="2">
        <v>46042</v>
      </c>
      <c r="B100" t="s">
        <v>90</v>
      </c>
      <c r="C100">
        <v>64070</v>
      </c>
      <c r="D100">
        <v>1619</v>
      </c>
      <c r="E100" t="s">
        <v>186</v>
      </c>
      <c r="F100" t="s">
        <v>46</v>
      </c>
      <c r="H100" t="s">
        <v>258</v>
      </c>
      <c r="I100" t="s">
        <v>187</v>
      </c>
      <c r="K100">
        <v>0.79188312470418021</v>
      </c>
      <c r="L100">
        <v>0.84131493358859233</v>
      </c>
    </row>
    <row r="101" spans="1:12">
      <c r="A101" s="2">
        <v>46043</v>
      </c>
      <c r="B101" t="s">
        <v>90</v>
      </c>
      <c r="C101">
        <v>64290</v>
      </c>
      <c r="D101">
        <v>1620</v>
      </c>
      <c r="E101" t="s">
        <v>188</v>
      </c>
      <c r="F101" t="s">
        <v>46</v>
      </c>
      <c r="H101" t="s">
        <v>258</v>
      </c>
      <c r="K101">
        <v>0.93460492638890624</v>
      </c>
      <c r="L101">
        <v>0.92528970641725761</v>
      </c>
    </row>
    <row r="102" spans="1:12">
      <c r="A102" s="2">
        <v>46043</v>
      </c>
      <c r="B102" t="s">
        <v>44</v>
      </c>
      <c r="C102">
        <v>64290</v>
      </c>
      <c r="D102">
        <v>1621</v>
      </c>
      <c r="E102" t="s">
        <v>189</v>
      </c>
      <c r="F102" t="s">
        <v>46</v>
      </c>
      <c r="H102" t="s">
        <v>258</v>
      </c>
      <c r="I102" t="s">
        <v>190</v>
      </c>
      <c r="K102">
        <v>0.83052172972425531</v>
      </c>
      <c r="L102">
        <v>0.81681363537851626</v>
      </c>
    </row>
    <row r="103" spans="1:12">
      <c r="A103" s="2">
        <v>46043</v>
      </c>
      <c r="B103" t="s">
        <v>90</v>
      </c>
      <c r="C103">
        <v>64290</v>
      </c>
      <c r="D103">
        <v>1622</v>
      </c>
      <c r="E103" t="s">
        <v>191</v>
      </c>
      <c r="F103" t="s">
        <v>46</v>
      </c>
      <c r="H103" t="s">
        <v>258</v>
      </c>
      <c r="K103" s="4"/>
      <c r="L103" s="50">
        <v>0.27391004717146084</v>
      </c>
    </row>
    <row r="104" spans="1:12">
      <c r="A104" s="2">
        <v>46043</v>
      </c>
      <c r="B104" t="s">
        <v>44</v>
      </c>
      <c r="C104">
        <v>64290</v>
      </c>
      <c r="D104">
        <v>1623</v>
      </c>
      <c r="E104" t="s">
        <v>107</v>
      </c>
      <c r="F104" t="s">
        <v>46</v>
      </c>
      <c r="H104" t="s">
        <v>258</v>
      </c>
      <c r="I104" t="s">
        <v>192</v>
      </c>
      <c r="K104">
        <v>0.79608737618976178</v>
      </c>
      <c r="L104">
        <v>0.76858614347669962</v>
      </c>
    </row>
    <row r="105" spans="1:12">
      <c r="A105" s="2">
        <v>46043</v>
      </c>
      <c r="B105" t="s">
        <v>44</v>
      </c>
      <c r="C105">
        <v>64290</v>
      </c>
      <c r="D105">
        <v>1624</v>
      </c>
      <c r="E105" t="s">
        <v>116</v>
      </c>
      <c r="F105" t="s">
        <v>46</v>
      </c>
      <c r="H105" t="s">
        <v>258</v>
      </c>
      <c r="I105" t="s">
        <v>193</v>
      </c>
      <c r="K105">
        <v>0.71847243107901027</v>
      </c>
      <c r="L105">
        <v>0.70957281345194834</v>
      </c>
    </row>
    <row r="106" spans="1:12">
      <c r="A106" s="2">
        <v>46043</v>
      </c>
      <c r="B106" t="s">
        <v>90</v>
      </c>
      <c r="C106">
        <v>64291</v>
      </c>
      <c r="D106">
        <v>1625</v>
      </c>
      <c r="E106" t="s">
        <v>194</v>
      </c>
      <c r="F106" t="s">
        <v>46</v>
      </c>
      <c r="H106" t="s">
        <v>259</v>
      </c>
      <c r="K106">
        <v>0.88260829459883516</v>
      </c>
      <c r="L106" s="50">
        <v>0.8817509800521659</v>
      </c>
    </row>
    <row r="107" spans="1:12">
      <c r="A107" s="2">
        <v>46043</v>
      </c>
      <c r="B107" t="s">
        <v>44</v>
      </c>
      <c r="C107">
        <v>64291</v>
      </c>
      <c r="D107">
        <v>1626</v>
      </c>
      <c r="E107" t="s">
        <v>117</v>
      </c>
      <c r="F107" t="s">
        <v>46</v>
      </c>
      <c r="H107" t="s">
        <v>259</v>
      </c>
      <c r="I107" t="s">
        <v>195</v>
      </c>
      <c r="K107">
        <v>0.8078403464064744</v>
      </c>
      <c r="L107">
        <v>0.81844769136400841</v>
      </c>
    </row>
    <row r="108" spans="1:12">
      <c r="A108" s="2">
        <v>46043</v>
      </c>
      <c r="B108" t="s">
        <v>90</v>
      </c>
      <c r="C108">
        <v>64291</v>
      </c>
      <c r="D108">
        <v>1627</v>
      </c>
      <c r="E108" t="s">
        <v>196</v>
      </c>
      <c r="F108" t="s">
        <v>46</v>
      </c>
      <c r="H108" t="s">
        <v>259</v>
      </c>
      <c r="K108">
        <v>0.82519706423745687</v>
      </c>
      <c r="L108">
        <v>0.82189390889085923</v>
      </c>
    </row>
    <row r="109" spans="1:12">
      <c r="A109" s="2">
        <v>46044</v>
      </c>
      <c r="B109" t="s">
        <v>44</v>
      </c>
      <c r="C109">
        <v>64282</v>
      </c>
      <c r="D109">
        <v>1628</v>
      </c>
      <c r="E109" t="s">
        <v>197</v>
      </c>
      <c r="F109" t="s">
        <v>65</v>
      </c>
      <c r="H109" t="s">
        <v>259</v>
      </c>
      <c r="I109" t="s">
        <v>198</v>
      </c>
      <c r="K109">
        <v>0.80933278181654544</v>
      </c>
      <c r="L109">
        <v>0.71647704624572506</v>
      </c>
    </row>
    <row r="110" spans="1:12">
      <c r="A110" s="2">
        <v>46044</v>
      </c>
      <c r="B110" t="s">
        <v>90</v>
      </c>
      <c r="C110">
        <v>64282</v>
      </c>
      <c r="D110">
        <v>1629</v>
      </c>
      <c r="E110" t="s">
        <v>199</v>
      </c>
      <c r="F110" t="s">
        <v>65</v>
      </c>
      <c r="H110" t="s">
        <v>259</v>
      </c>
      <c r="K110">
        <v>0.61886911371680609</v>
      </c>
      <c r="L110">
        <v>0.57183206683548371</v>
      </c>
    </row>
    <row r="111" spans="1:12">
      <c r="A111" s="2">
        <v>46044</v>
      </c>
      <c r="B111" t="s">
        <v>90</v>
      </c>
      <c r="C111">
        <v>64283</v>
      </c>
      <c r="D111">
        <v>1630</v>
      </c>
      <c r="E111" t="s">
        <v>201</v>
      </c>
      <c r="F111" t="s">
        <v>65</v>
      </c>
      <c r="H111" t="s">
        <v>258</v>
      </c>
      <c r="I111" t="s">
        <v>202</v>
      </c>
      <c r="K111">
        <v>0.8071398785932189</v>
      </c>
      <c r="L111">
        <v>0.83774447303685251</v>
      </c>
    </row>
    <row r="112" spans="1:12">
      <c r="A112" s="2">
        <v>46044</v>
      </c>
      <c r="B112" t="s">
        <v>158</v>
      </c>
      <c r="C112">
        <v>64283</v>
      </c>
      <c r="D112">
        <v>1631</v>
      </c>
      <c r="E112" t="s">
        <v>203</v>
      </c>
      <c r="F112" t="s">
        <v>65</v>
      </c>
      <c r="H112" t="s">
        <v>258</v>
      </c>
      <c r="I112" t="s">
        <v>204</v>
      </c>
      <c r="K112">
        <v>0.8316403284533036</v>
      </c>
      <c r="L112">
        <v>0.80163390704732873</v>
      </c>
    </row>
    <row r="113" spans="1:12">
      <c r="A113" s="2">
        <v>46044</v>
      </c>
      <c r="B113" t="s">
        <v>90</v>
      </c>
      <c r="C113">
        <v>64283</v>
      </c>
      <c r="D113">
        <v>1632</v>
      </c>
      <c r="E113" t="s">
        <v>205</v>
      </c>
      <c r="F113" t="s">
        <v>65</v>
      </c>
      <c r="H113" t="s">
        <v>258</v>
      </c>
      <c r="I113" t="s">
        <v>206</v>
      </c>
      <c r="K113">
        <v>0.82123987274487342</v>
      </c>
      <c r="L113">
        <v>0.83845748897690342</v>
      </c>
    </row>
    <row r="114" spans="1:12">
      <c r="A114" s="2">
        <v>46045</v>
      </c>
      <c r="B114" t="s">
        <v>69</v>
      </c>
      <c r="C114">
        <v>64292</v>
      </c>
      <c r="D114">
        <v>1633</v>
      </c>
      <c r="E114" t="s">
        <v>207</v>
      </c>
      <c r="F114" t="s">
        <v>46</v>
      </c>
      <c r="H114" t="s">
        <v>259</v>
      </c>
      <c r="I114" t="s">
        <v>208</v>
      </c>
      <c r="K114" s="4"/>
      <c r="L114" s="50">
        <v>0.98352001862971161</v>
      </c>
    </row>
    <row r="115" spans="1:12">
      <c r="A115" s="2">
        <v>46045</v>
      </c>
      <c r="B115" t="s">
        <v>90</v>
      </c>
      <c r="C115">
        <v>64293</v>
      </c>
      <c r="D115">
        <v>1634</v>
      </c>
      <c r="E115" t="s">
        <v>210</v>
      </c>
      <c r="F115" t="s">
        <v>46</v>
      </c>
      <c r="H115" t="s">
        <v>258</v>
      </c>
      <c r="K115">
        <v>0.82535882909822644</v>
      </c>
      <c r="L115">
        <v>0.84012495741640003</v>
      </c>
    </row>
    <row r="116" spans="1:12">
      <c r="A116" s="2">
        <v>46045</v>
      </c>
      <c r="B116" t="s">
        <v>90</v>
      </c>
      <c r="C116">
        <v>64293</v>
      </c>
      <c r="D116">
        <v>1635</v>
      </c>
      <c r="E116" t="s">
        <v>211</v>
      </c>
      <c r="F116" t="s">
        <v>46</v>
      </c>
      <c r="H116" t="s">
        <v>258</v>
      </c>
      <c r="I116" t="s">
        <v>212</v>
      </c>
      <c r="K116">
        <v>0.95824705364132945</v>
      </c>
      <c r="L116">
        <v>0.95202373030300125</v>
      </c>
    </row>
    <row r="117" spans="1:12">
      <c r="A117" s="66">
        <v>46049</v>
      </c>
      <c r="B117" s="56" t="s">
        <v>90</v>
      </c>
      <c r="C117" s="56">
        <v>64284</v>
      </c>
      <c r="D117" s="56">
        <v>1636</v>
      </c>
      <c r="E117" s="56" t="s">
        <v>140</v>
      </c>
      <c r="F117" s="56" t="s">
        <v>65</v>
      </c>
      <c r="H117" s="56" t="s">
        <v>259</v>
      </c>
      <c r="I117" s="56"/>
      <c r="K117">
        <v>0.85047286665637456</v>
      </c>
      <c r="L117">
        <v>0.87248721628543524</v>
      </c>
    </row>
    <row r="118" spans="1:12">
      <c r="A118" s="66">
        <v>46049</v>
      </c>
      <c r="B118" s="56" t="s">
        <v>90</v>
      </c>
      <c r="C118" s="56">
        <v>64284</v>
      </c>
      <c r="D118" s="56">
        <v>1637</v>
      </c>
      <c r="E118" s="56" t="s">
        <v>142</v>
      </c>
      <c r="F118" s="56" t="s">
        <v>65</v>
      </c>
      <c r="H118" s="56" t="s">
        <v>259</v>
      </c>
      <c r="I118" s="56" t="s">
        <v>213</v>
      </c>
      <c r="K118">
        <v>0.78207673083665141</v>
      </c>
      <c r="L118">
        <v>0.76977005443820712</v>
      </c>
    </row>
    <row r="119" spans="1:12">
      <c r="A119" s="66">
        <v>46049</v>
      </c>
      <c r="B119" s="56" t="s">
        <v>90</v>
      </c>
      <c r="C119" s="56">
        <v>64284</v>
      </c>
      <c r="D119" s="56">
        <v>1638</v>
      </c>
      <c r="E119" s="56" t="s">
        <v>214</v>
      </c>
      <c r="F119" s="56" t="s">
        <v>65</v>
      </c>
      <c r="H119" s="56" t="s">
        <v>259</v>
      </c>
      <c r="I119" s="56" t="s">
        <v>215</v>
      </c>
      <c r="K119">
        <v>0.74424025065224386</v>
      </c>
      <c r="L119">
        <v>0.76894473607562586</v>
      </c>
    </row>
    <row r="120" spans="1:12">
      <c r="A120" s="67">
        <v>46049</v>
      </c>
      <c r="B120" s="57" t="s">
        <v>44</v>
      </c>
      <c r="C120" s="57">
        <v>64284</v>
      </c>
      <c r="D120" s="57">
        <v>1639</v>
      </c>
      <c r="E120" s="57" t="s">
        <v>216</v>
      </c>
      <c r="F120" s="57" t="s">
        <v>65</v>
      </c>
      <c r="H120" s="57" t="s">
        <v>259</v>
      </c>
      <c r="I120" s="57" t="s">
        <v>217</v>
      </c>
      <c r="K120">
        <v>0.77987455882978773</v>
      </c>
      <c r="L120">
        <v>0.81564544052170307</v>
      </c>
    </row>
    <row r="121" spans="1:12">
      <c r="A121" s="67">
        <v>46049</v>
      </c>
      <c r="B121" s="57" t="s">
        <v>90</v>
      </c>
      <c r="C121" s="57">
        <v>64285</v>
      </c>
      <c r="D121" s="57">
        <v>1640</v>
      </c>
      <c r="E121" s="57" t="s">
        <v>218</v>
      </c>
      <c r="F121" s="57" t="s">
        <v>65</v>
      </c>
      <c r="H121" s="57" t="s">
        <v>258</v>
      </c>
      <c r="I121" s="57" t="s">
        <v>219</v>
      </c>
      <c r="K121">
        <v>0.86614272047727559</v>
      </c>
      <c r="L121">
        <v>0.91119944899773619</v>
      </c>
    </row>
    <row r="122" spans="1:12">
      <c r="A122" s="67">
        <v>46049</v>
      </c>
      <c r="B122" s="57" t="s">
        <v>44</v>
      </c>
      <c r="C122" s="57">
        <v>64284</v>
      </c>
      <c r="D122" s="57">
        <v>1641</v>
      </c>
      <c r="E122" s="57" t="s">
        <v>95</v>
      </c>
      <c r="F122" s="57" t="s">
        <v>65</v>
      </c>
      <c r="H122" s="57" t="s">
        <v>259</v>
      </c>
      <c r="I122" s="57"/>
      <c r="K122">
        <v>0.85315473344341652</v>
      </c>
      <c r="L122">
        <v>0.85267501660820533</v>
      </c>
    </row>
    <row r="123" spans="1:12">
      <c r="A123" s="66">
        <v>46049</v>
      </c>
      <c r="B123" s="56" t="s">
        <v>90</v>
      </c>
      <c r="C123" s="56">
        <v>64285</v>
      </c>
      <c r="D123" s="56">
        <v>1642</v>
      </c>
      <c r="E123" s="56" t="s">
        <v>220</v>
      </c>
      <c r="F123" s="56" t="s">
        <v>65</v>
      </c>
      <c r="H123" s="56" t="s">
        <v>258</v>
      </c>
      <c r="I123" s="56"/>
      <c r="K123">
        <v>0.86051325875420304</v>
      </c>
      <c r="L123">
        <v>0.8911144171603802</v>
      </c>
    </row>
    <row r="124" spans="1:12">
      <c r="A124" s="66">
        <v>46049</v>
      </c>
      <c r="B124" s="56" t="s">
        <v>44</v>
      </c>
      <c r="C124" s="56">
        <v>64285</v>
      </c>
      <c r="D124" s="56">
        <v>1643</v>
      </c>
      <c r="E124" s="56" t="s">
        <v>144</v>
      </c>
      <c r="F124" s="56" t="s">
        <v>65</v>
      </c>
      <c r="H124" s="56" t="s">
        <v>258</v>
      </c>
      <c r="I124" s="56"/>
      <c r="K124">
        <v>0.80845242073651158</v>
      </c>
      <c r="L124">
        <v>0.84233749169854866</v>
      </c>
    </row>
    <row r="125" spans="1:12">
      <c r="A125" s="67">
        <v>46049</v>
      </c>
      <c r="B125" s="57" t="s">
        <v>44</v>
      </c>
      <c r="C125" s="57">
        <v>64285</v>
      </c>
      <c r="D125" s="57">
        <v>1644</v>
      </c>
      <c r="E125" s="57" t="s">
        <v>221</v>
      </c>
      <c r="F125" s="57" t="s">
        <v>65</v>
      </c>
      <c r="H125" s="57" t="s">
        <v>258</v>
      </c>
      <c r="I125" s="57" t="s">
        <v>222</v>
      </c>
      <c r="K125">
        <v>0.8089613337403283</v>
      </c>
      <c r="L125">
        <v>0.77489275278456571</v>
      </c>
    </row>
    <row r="126" spans="1:12">
      <c r="A126" s="66">
        <v>46050</v>
      </c>
      <c r="B126" s="56" t="s">
        <v>44</v>
      </c>
      <c r="C126" s="56">
        <v>64286</v>
      </c>
      <c r="D126" s="56">
        <v>1645</v>
      </c>
      <c r="E126" s="56" t="s">
        <v>223</v>
      </c>
      <c r="F126" s="56" t="s">
        <v>65</v>
      </c>
      <c r="H126" s="56" t="s">
        <v>258</v>
      </c>
      <c r="I126" s="56" t="s">
        <v>224</v>
      </c>
      <c r="K126">
        <v>0.75935841477999455</v>
      </c>
      <c r="L126">
        <v>0.78374548750841111</v>
      </c>
    </row>
    <row r="127" spans="1:12">
      <c r="A127" s="66">
        <v>46050</v>
      </c>
      <c r="B127" s="56" t="s">
        <v>90</v>
      </c>
      <c r="C127" s="56">
        <v>64286</v>
      </c>
      <c r="D127" s="56">
        <v>1646</v>
      </c>
      <c r="E127" s="56" t="s">
        <v>140</v>
      </c>
      <c r="F127" s="56" t="s">
        <v>65</v>
      </c>
      <c r="H127" s="56" t="s">
        <v>258</v>
      </c>
      <c r="I127" s="56"/>
      <c r="K127">
        <v>0.78644777371523067</v>
      </c>
      <c r="L127">
        <v>0.83938725494836075</v>
      </c>
    </row>
    <row r="128" spans="1:12">
      <c r="A128" s="66">
        <v>46050</v>
      </c>
      <c r="B128" s="56" t="s">
        <v>44</v>
      </c>
      <c r="C128" s="56">
        <v>64286</v>
      </c>
      <c r="D128" s="56">
        <v>1647</v>
      </c>
      <c r="E128" s="56" t="s">
        <v>107</v>
      </c>
      <c r="F128" s="56" t="s">
        <v>65</v>
      </c>
      <c r="H128" s="56" t="s">
        <v>258</v>
      </c>
      <c r="I128" s="56" t="s">
        <v>225</v>
      </c>
      <c r="K128">
        <v>0.87198198813590688</v>
      </c>
      <c r="L128">
        <v>0.86704061977525959</v>
      </c>
    </row>
    <row r="129" spans="1:12">
      <c r="A129" s="66">
        <v>46050</v>
      </c>
      <c r="B129" s="56" t="s">
        <v>44</v>
      </c>
      <c r="C129" s="56">
        <v>64286</v>
      </c>
      <c r="D129" s="56">
        <v>1648</v>
      </c>
      <c r="E129" s="56" t="s">
        <v>116</v>
      </c>
      <c r="F129" s="56" t="s">
        <v>65</v>
      </c>
      <c r="H129" s="56" t="s">
        <v>258</v>
      </c>
      <c r="I129" s="56" t="s">
        <v>226</v>
      </c>
      <c r="K129">
        <v>0.81325728398922703</v>
      </c>
      <c r="L129">
        <v>0.82019009004173182</v>
      </c>
    </row>
    <row r="130" spans="1:12">
      <c r="A130" s="67">
        <v>46050</v>
      </c>
      <c r="B130" s="57" t="s">
        <v>90</v>
      </c>
      <c r="C130" s="57">
        <v>64286</v>
      </c>
      <c r="D130" s="57">
        <v>1649</v>
      </c>
      <c r="E130" s="57" t="s">
        <v>124</v>
      </c>
      <c r="F130" s="57" t="s">
        <v>65</v>
      </c>
      <c r="H130" s="57" t="s">
        <v>258</v>
      </c>
      <c r="I130" s="57" t="s">
        <v>227</v>
      </c>
      <c r="K130">
        <v>0.80366098079444948</v>
      </c>
      <c r="L130">
        <v>0.8104086091961008</v>
      </c>
    </row>
    <row r="131" spans="1:12">
      <c r="A131" s="66">
        <v>46050</v>
      </c>
      <c r="B131" s="56" t="s">
        <v>90</v>
      </c>
      <c r="C131" s="56">
        <v>64287</v>
      </c>
      <c r="D131" s="56">
        <v>1650</v>
      </c>
      <c r="E131" s="56" t="s">
        <v>126</v>
      </c>
      <c r="F131" s="56" t="s">
        <v>65</v>
      </c>
      <c r="H131" s="56" t="s">
        <v>259</v>
      </c>
      <c r="I131" s="56"/>
      <c r="K131">
        <v>0.83585539652170837</v>
      </c>
      <c r="L131">
        <v>0.87258760467312813</v>
      </c>
    </row>
    <row r="132" spans="1:12">
      <c r="A132" s="67">
        <v>46050</v>
      </c>
      <c r="B132" s="57" t="s">
        <v>90</v>
      </c>
      <c r="C132" s="57">
        <v>64287</v>
      </c>
      <c r="D132" s="57">
        <v>1651</v>
      </c>
      <c r="E132" s="57" t="s">
        <v>145</v>
      </c>
      <c r="F132" s="57" t="s">
        <v>65</v>
      </c>
      <c r="H132" s="57" t="s">
        <v>259</v>
      </c>
      <c r="I132" s="57" t="s">
        <v>228</v>
      </c>
      <c r="K132">
        <v>0.82206317812738972</v>
      </c>
      <c r="L132">
        <v>0.85494712515974258</v>
      </c>
    </row>
    <row r="133" spans="1:12">
      <c r="A133" s="66">
        <v>46051</v>
      </c>
      <c r="B133" s="56" t="s">
        <v>90</v>
      </c>
      <c r="C133" s="56">
        <v>64278</v>
      </c>
      <c r="D133" s="56">
        <v>1652</v>
      </c>
      <c r="E133" s="56" t="s">
        <v>140</v>
      </c>
      <c r="F133" s="56" t="s">
        <v>46</v>
      </c>
      <c r="H133" s="56" t="s">
        <v>259</v>
      </c>
      <c r="I133" s="56"/>
      <c r="K133">
        <v>0.75117824845150083</v>
      </c>
      <c r="L133">
        <v>0.79208723834037276</v>
      </c>
    </row>
    <row r="134" spans="1:12">
      <c r="A134" s="66">
        <v>46051</v>
      </c>
      <c r="B134" s="56" t="s">
        <v>90</v>
      </c>
      <c r="C134" s="56">
        <v>64278</v>
      </c>
      <c r="D134" s="56">
        <v>1653</v>
      </c>
      <c r="E134" s="56" t="s">
        <v>142</v>
      </c>
      <c r="F134" s="56" t="s">
        <v>46</v>
      </c>
      <c r="H134" s="56" t="s">
        <v>259</v>
      </c>
      <c r="I134" s="56" t="s">
        <v>229</v>
      </c>
      <c r="K134">
        <v>0.78839594200231833</v>
      </c>
      <c r="L134">
        <v>0.77842584177332119</v>
      </c>
    </row>
    <row r="135" spans="1:12">
      <c r="A135" s="66">
        <v>46051</v>
      </c>
      <c r="B135" s="56" t="s">
        <v>90</v>
      </c>
      <c r="C135" s="56">
        <v>64278</v>
      </c>
      <c r="D135" s="56">
        <v>1654</v>
      </c>
      <c r="E135" s="56" t="s">
        <v>184</v>
      </c>
      <c r="F135" s="56" t="s">
        <v>46</v>
      </c>
      <c r="H135" s="56" t="s">
        <v>259</v>
      </c>
      <c r="I135" s="56"/>
      <c r="K135">
        <v>0.84155466407583934</v>
      </c>
      <c r="L135">
        <v>0.86461637427787674</v>
      </c>
    </row>
    <row r="136" spans="1:12">
      <c r="A136" s="67">
        <v>46051</v>
      </c>
      <c r="B136" s="57" t="s">
        <v>158</v>
      </c>
      <c r="C136" s="57">
        <v>64278</v>
      </c>
      <c r="D136" s="57">
        <v>1655</v>
      </c>
      <c r="E136" s="57" t="s">
        <v>230</v>
      </c>
      <c r="F136" s="57" t="s">
        <v>46</v>
      </c>
      <c r="H136" s="57" t="s">
        <v>259</v>
      </c>
      <c r="I136" s="57"/>
      <c r="K136">
        <v>0.82784206342118627</v>
      </c>
      <c r="L136">
        <v>0.85106526426484397</v>
      </c>
    </row>
    <row r="137" spans="1:12">
      <c r="A137" s="66">
        <v>46051</v>
      </c>
      <c r="B137" s="56" t="s">
        <v>90</v>
      </c>
      <c r="C137" s="56">
        <v>64279</v>
      </c>
      <c r="D137" s="56">
        <v>1656</v>
      </c>
      <c r="E137" s="56" t="s">
        <v>231</v>
      </c>
      <c r="F137" s="56" t="s">
        <v>46</v>
      </c>
      <c r="H137" s="56" t="s">
        <v>259</v>
      </c>
      <c r="I137" s="56" t="s">
        <v>232</v>
      </c>
      <c r="K137">
        <v>0.829719000605873</v>
      </c>
      <c r="L137">
        <v>0.85484959493070711</v>
      </c>
    </row>
    <row r="138" spans="1:12">
      <c r="A138" s="66">
        <v>46051</v>
      </c>
      <c r="B138" s="56" t="s">
        <v>90</v>
      </c>
      <c r="C138" s="56">
        <v>64279</v>
      </c>
      <c r="D138" s="56">
        <v>1657</v>
      </c>
      <c r="E138" s="56" t="s">
        <v>233</v>
      </c>
      <c r="F138" s="56" t="s">
        <v>46</v>
      </c>
      <c r="H138" s="56" t="s">
        <v>258</v>
      </c>
      <c r="I138" s="56" t="s">
        <v>234</v>
      </c>
      <c r="K138">
        <v>0.8449032401483999</v>
      </c>
      <c r="L138">
        <v>0.86270608901520451</v>
      </c>
    </row>
    <row r="139" spans="1:12">
      <c r="A139" s="66">
        <v>46051</v>
      </c>
      <c r="B139" s="56" t="s">
        <v>158</v>
      </c>
      <c r="C139" s="56">
        <v>64279</v>
      </c>
      <c r="D139" s="56">
        <v>1658</v>
      </c>
      <c r="E139" s="56" t="s">
        <v>145</v>
      </c>
      <c r="F139" s="56" t="s">
        <v>46</v>
      </c>
      <c r="H139" s="56" t="s">
        <v>258</v>
      </c>
      <c r="I139" s="56" t="s">
        <v>235</v>
      </c>
      <c r="K139">
        <v>0.91927533741313727</v>
      </c>
      <c r="L139">
        <v>1.0009386433477152</v>
      </c>
    </row>
    <row r="140" spans="1:12">
      <c r="A140" s="67">
        <v>46051</v>
      </c>
      <c r="B140" s="57" t="s">
        <v>90</v>
      </c>
      <c r="C140" s="57">
        <v>64279</v>
      </c>
      <c r="D140" s="57">
        <v>1659</v>
      </c>
      <c r="E140" s="57" t="s">
        <v>236</v>
      </c>
      <c r="F140" s="57" t="s">
        <v>46</v>
      </c>
      <c r="H140" s="57" t="s">
        <v>258</v>
      </c>
      <c r="I140" s="57"/>
      <c r="K140">
        <v>0.83942945738488151</v>
      </c>
      <c r="L140">
        <v>0.86685487226576607</v>
      </c>
    </row>
    <row r="141" spans="1:12">
      <c r="A141" s="66">
        <v>46052</v>
      </c>
      <c r="B141" s="56" t="s">
        <v>90</v>
      </c>
      <c r="C141" s="56">
        <v>64288</v>
      </c>
      <c r="D141" s="56">
        <v>1660</v>
      </c>
      <c r="E141" s="56" t="s">
        <v>91</v>
      </c>
      <c r="F141" s="56" t="s">
        <v>65</v>
      </c>
      <c r="H141" s="56" t="s">
        <v>258</v>
      </c>
      <c r="I141" s="56"/>
      <c r="K141">
        <v>0.8032274139797746</v>
      </c>
      <c r="L141">
        <v>0.81585400993479817</v>
      </c>
    </row>
    <row r="142" spans="1:12">
      <c r="A142" s="66">
        <v>46052</v>
      </c>
      <c r="B142" s="56" t="s">
        <v>90</v>
      </c>
      <c r="C142" s="56">
        <v>64288</v>
      </c>
      <c r="D142" s="56">
        <v>1661</v>
      </c>
      <c r="E142" s="56" t="s">
        <v>237</v>
      </c>
      <c r="F142" s="56" t="s">
        <v>65</v>
      </c>
      <c r="H142" s="56" t="s">
        <v>258</v>
      </c>
      <c r="I142" s="56"/>
      <c r="K142">
        <v>0.77421576056642272</v>
      </c>
      <c r="L142">
        <v>0.76254141130918474</v>
      </c>
    </row>
    <row r="143" spans="1:12">
      <c r="A143" s="67">
        <v>46052</v>
      </c>
      <c r="B143" s="57" t="s">
        <v>90</v>
      </c>
      <c r="C143" s="57">
        <v>64288</v>
      </c>
      <c r="D143" s="57">
        <v>1662</v>
      </c>
      <c r="E143" s="57" t="s">
        <v>238</v>
      </c>
      <c r="F143" s="57" t="s">
        <v>65</v>
      </c>
      <c r="H143" s="57" t="s">
        <v>258</v>
      </c>
      <c r="I143" s="57" t="s">
        <v>239</v>
      </c>
      <c r="K143">
        <v>0.78659700001012989</v>
      </c>
      <c r="L143">
        <v>0.78245449122402233</v>
      </c>
    </row>
    <row r="144" spans="1:12">
      <c r="A144" s="66">
        <v>46052</v>
      </c>
      <c r="B144" s="56" t="s">
        <v>90</v>
      </c>
      <c r="C144" s="56">
        <v>64289</v>
      </c>
      <c r="D144" s="56">
        <v>1663</v>
      </c>
      <c r="E144" s="56" t="s">
        <v>240</v>
      </c>
      <c r="F144" s="56" t="s">
        <v>65</v>
      </c>
      <c r="H144" s="56" t="s">
        <v>259</v>
      </c>
      <c r="I144" s="56" t="s">
        <v>241</v>
      </c>
      <c r="K144">
        <v>0.62236067894277003</v>
      </c>
      <c r="L144">
        <v>0.87029920533471405</v>
      </c>
    </row>
    <row r="145" spans="1:12">
      <c r="A145" s="66">
        <v>46052</v>
      </c>
      <c r="B145" s="56" t="s">
        <v>90</v>
      </c>
      <c r="C145" s="56">
        <v>64289</v>
      </c>
      <c r="D145" s="56">
        <v>1664</v>
      </c>
      <c r="E145" s="56" t="s">
        <v>167</v>
      </c>
      <c r="F145" s="56" t="s">
        <v>65</v>
      </c>
      <c r="H145" s="56" t="s">
        <v>259</v>
      </c>
      <c r="I145" s="56" t="s">
        <v>243</v>
      </c>
      <c r="K145">
        <v>0.79619509436423563</v>
      </c>
      <c r="L145">
        <v>0.80018889595359832</v>
      </c>
    </row>
    <row r="146" spans="1:12">
      <c r="A146" s="67">
        <v>46052</v>
      </c>
      <c r="B146" s="57" t="s">
        <v>90</v>
      </c>
      <c r="C146" s="57">
        <v>64289</v>
      </c>
      <c r="D146" s="57">
        <v>1665</v>
      </c>
      <c r="E146" s="57" t="s">
        <v>244</v>
      </c>
      <c r="F146" s="57" t="s">
        <v>65</v>
      </c>
      <c r="H146" s="57" t="s">
        <v>259</v>
      </c>
      <c r="I146" s="57"/>
      <c r="K146">
        <v>1.000283019223009</v>
      </c>
      <c r="L146">
        <v>1.0197659446141369</v>
      </c>
    </row>
    <row r="147" spans="1:12">
      <c r="A147" s="2">
        <v>46057</v>
      </c>
      <c r="B147" t="s">
        <v>44</v>
      </c>
      <c r="C147">
        <v>64280</v>
      </c>
      <c r="D147" s="72">
        <v>1666</v>
      </c>
      <c r="E147" t="s">
        <v>140</v>
      </c>
      <c r="F147" s="72" t="s">
        <v>46</v>
      </c>
      <c r="H147" s="72" t="s">
        <v>258</v>
      </c>
      <c r="I147" t="s">
        <v>246</v>
      </c>
      <c r="K147">
        <v>0.81151729838496856</v>
      </c>
      <c r="L147">
        <v>0.71714235973632778</v>
      </c>
    </row>
    <row r="148" spans="1:12">
      <c r="A148" s="2">
        <v>46057</v>
      </c>
      <c r="B148" t="s">
        <v>44</v>
      </c>
      <c r="C148">
        <v>64280</v>
      </c>
      <c r="D148">
        <v>1667</v>
      </c>
      <c r="E148" t="s">
        <v>82</v>
      </c>
      <c r="F148" t="s">
        <v>46</v>
      </c>
      <c r="H148" t="s">
        <v>258</v>
      </c>
      <c r="I148" t="s">
        <v>247</v>
      </c>
      <c r="K148">
        <v>0.80033633327153775</v>
      </c>
      <c r="L148">
        <v>0.83822320961648333</v>
      </c>
    </row>
    <row r="149" spans="1:12">
      <c r="A149" s="2">
        <v>46057</v>
      </c>
      <c r="B149" t="s">
        <v>90</v>
      </c>
      <c r="C149">
        <v>64280</v>
      </c>
      <c r="D149">
        <v>1668</v>
      </c>
      <c r="E149" t="s">
        <v>140</v>
      </c>
      <c r="F149" t="s">
        <v>46</v>
      </c>
      <c r="H149" t="s">
        <v>258</v>
      </c>
      <c r="I149" t="s">
        <v>248</v>
      </c>
      <c r="K149">
        <v>0.76971912224895855</v>
      </c>
      <c r="L149">
        <v>0.81324718006815533</v>
      </c>
    </row>
    <row r="150" spans="1:12">
      <c r="A150" s="2">
        <v>46057</v>
      </c>
      <c r="B150" t="s">
        <v>90</v>
      </c>
      <c r="C150">
        <v>64280</v>
      </c>
      <c r="D150">
        <v>1669</v>
      </c>
      <c r="E150" t="s">
        <v>142</v>
      </c>
      <c r="F150" t="s">
        <v>46</v>
      </c>
      <c r="H150" t="s">
        <v>258</v>
      </c>
      <c r="K150">
        <v>0.83386394682450171</v>
      </c>
      <c r="L150">
        <v>0.81388208135730555</v>
      </c>
    </row>
    <row r="151" spans="1:12">
      <c r="A151" s="2">
        <v>46057</v>
      </c>
      <c r="B151" t="s">
        <v>90</v>
      </c>
      <c r="C151">
        <v>64281</v>
      </c>
      <c r="D151">
        <v>1670</v>
      </c>
      <c r="E151" t="s">
        <v>194</v>
      </c>
      <c r="F151" t="s">
        <v>46</v>
      </c>
      <c r="H151" t="s">
        <v>259</v>
      </c>
      <c r="I151" t="s">
        <v>249</v>
      </c>
      <c r="K151">
        <v>0.9024794748135897</v>
      </c>
      <c r="L151">
        <v>0.8850936521954349</v>
      </c>
    </row>
    <row r="152" spans="1:12">
      <c r="A152" s="2">
        <v>46057</v>
      </c>
      <c r="B152" t="s">
        <v>44</v>
      </c>
      <c r="C152">
        <v>64281</v>
      </c>
      <c r="D152">
        <v>1671</v>
      </c>
      <c r="E152" t="s">
        <v>184</v>
      </c>
      <c r="F152" t="s">
        <v>46</v>
      </c>
      <c r="H152" t="s">
        <v>259</v>
      </c>
      <c r="K152">
        <v>0.80628533820802217</v>
      </c>
      <c r="L152">
        <v>0.81360257324806917</v>
      </c>
    </row>
    <row r="153" spans="1:12">
      <c r="A153" s="2">
        <v>46057</v>
      </c>
      <c r="B153" t="s">
        <v>44</v>
      </c>
      <c r="C153">
        <v>64281</v>
      </c>
      <c r="D153">
        <v>1672</v>
      </c>
      <c r="E153" t="s">
        <v>250</v>
      </c>
      <c r="F153" t="s">
        <v>46</v>
      </c>
      <c r="H153" t="s">
        <v>259</v>
      </c>
      <c r="I153" t="s">
        <v>252</v>
      </c>
      <c r="K153">
        <v>0.78798305463410234</v>
      </c>
      <c r="L153">
        <v>0.82490208722003788</v>
      </c>
    </row>
    <row r="154" spans="1:12">
      <c r="A154" s="2">
        <v>46057</v>
      </c>
      <c r="B154" t="s">
        <v>90</v>
      </c>
      <c r="C154">
        <v>64281</v>
      </c>
      <c r="D154">
        <v>1673</v>
      </c>
      <c r="E154" t="s">
        <v>251</v>
      </c>
      <c r="F154" t="s">
        <v>46</v>
      </c>
      <c r="H154" t="s">
        <v>259</v>
      </c>
      <c r="I154" t="s">
        <v>254</v>
      </c>
      <c r="K154">
        <v>0.87535170885417768</v>
      </c>
      <c r="L154">
        <v>0.84273367410316191</v>
      </c>
    </row>
    <row r="155" spans="1:12">
      <c r="A155" s="2">
        <v>46057</v>
      </c>
      <c r="B155" t="s">
        <v>44</v>
      </c>
      <c r="C155">
        <v>64281</v>
      </c>
      <c r="D155">
        <v>1674</v>
      </c>
      <c r="E155" t="s">
        <v>253</v>
      </c>
      <c r="F155" t="s">
        <v>46</v>
      </c>
      <c r="H155" t="s">
        <v>259</v>
      </c>
      <c r="I155" t="s">
        <v>256</v>
      </c>
      <c r="K155">
        <v>0.83352762037720507</v>
      </c>
      <c r="L155">
        <v>0.79569172937707533</v>
      </c>
    </row>
    <row r="156" spans="1:12">
      <c r="A156" s="2">
        <v>46057</v>
      </c>
      <c r="B156" t="s">
        <v>90</v>
      </c>
      <c r="C156">
        <v>64281</v>
      </c>
      <c r="D156">
        <v>1675</v>
      </c>
      <c r="E156" t="s">
        <v>255</v>
      </c>
      <c r="F156" t="s">
        <v>46</v>
      </c>
      <c r="H156" t="s">
        <v>259</v>
      </c>
      <c r="K156">
        <v>0.84671757400122827</v>
      </c>
      <c r="L156">
        <v>0.8746274176021579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0F28-08FF-4F76-BC48-E19E39848D8E}">
  <sheetPr>
    <tabColor rgb="FFF584ED"/>
  </sheetPr>
  <dimension ref="A1:M157"/>
  <sheetViews>
    <sheetView topLeftCell="K6" workbookViewId="0">
      <selection activeCell="K6" sqref="K6"/>
    </sheetView>
  </sheetViews>
  <sheetFormatPr defaultRowHeight="15"/>
  <cols>
    <col min="1" max="1" width="11.42578125" bestFit="1" customWidth="1"/>
    <col min="2" max="2" width="16" bestFit="1" customWidth="1"/>
    <col min="5" max="5" width="21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265</v>
      </c>
      <c r="L1" s="1" t="s">
        <v>18</v>
      </c>
    </row>
    <row r="2" spans="1:12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G2" s="77" t="s">
        <v>47</v>
      </c>
      <c r="H2" t="s">
        <v>48</v>
      </c>
      <c r="I2" t="s">
        <v>49</v>
      </c>
      <c r="K2">
        <v>0.13747999999999999</v>
      </c>
      <c r="L2">
        <v>137.47999999999999</v>
      </c>
    </row>
    <row r="3" spans="1:12">
      <c r="A3" s="2">
        <v>45979</v>
      </c>
      <c r="B3" t="s">
        <v>44</v>
      </c>
      <c r="C3">
        <v>63562</v>
      </c>
      <c r="D3">
        <v>1521</v>
      </c>
      <c r="E3" t="s">
        <v>51</v>
      </c>
      <c r="F3" t="s">
        <v>46</v>
      </c>
      <c r="G3" s="77" t="s">
        <v>47</v>
      </c>
      <c r="H3" t="s">
        <v>48</v>
      </c>
      <c r="I3" t="s">
        <v>52</v>
      </c>
      <c r="K3">
        <v>0.12477000000000001</v>
      </c>
      <c r="L3">
        <v>124.77000000000001</v>
      </c>
    </row>
    <row r="4" spans="1:12">
      <c r="A4" s="2">
        <v>45979</v>
      </c>
      <c r="B4" t="s">
        <v>44</v>
      </c>
      <c r="C4">
        <v>63563</v>
      </c>
      <c r="D4">
        <v>1522</v>
      </c>
      <c r="E4" t="s">
        <v>53</v>
      </c>
      <c r="F4" t="s">
        <v>46</v>
      </c>
      <c r="G4" s="77" t="s">
        <v>47</v>
      </c>
      <c r="H4" t="s">
        <v>54</v>
      </c>
      <c r="I4" t="s">
        <v>55</v>
      </c>
      <c r="K4">
        <v>8.2229999999999998E-2</v>
      </c>
      <c r="L4">
        <v>82.23</v>
      </c>
    </row>
    <row r="5" spans="1:12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G5" s="77" t="s">
        <v>57</v>
      </c>
      <c r="H5" t="s">
        <v>54</v>
      </c>
      <c r="I5" t="s">
        <v>58</v>
      </c>
      <c r="K5">
        <v>0.30302000000000001</v>
      </c>
      <c r="L5">
        <v>303.02000000000004</v>
      </c>
    </row>
    <row r="6" spans="1:12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G6" s="77" t="s">
        <v>57</v>
      </c>
      <c r="H6" t="s">
        <v>54</v>
      </c>
      <c r="I6" t="s">
        <v>61</v>
      </c>
      <c r="K6">
        <v>0.15997</v>
      </c>
      <c r="L6">
        <v>159.97</v>
      </c>
    </row>
    <row r="7" spans="1:12">
      <c r="A7" s="2">
        <v>45980</v>
      </c>
      <c r="B7" t="s">
        <v>44</v>
      </c>
      <c r="C7">
        <v>63564</v>
      </c>
      <c r="D7">
        <v>1525</v>
      </c>
      <c r="E7" t="s">
        <v>62</v>
      </c>
      <c r="F7" t="s">
        <v>46</v>
      </c>
      <c r="G7" s="77" t="s">
        <v>57</v>
      </c>
      <c r="H7" t="s">
        <v>54</v>
      </c>
      <c r="K7">
        <v>0.25696999999999998</v>
      </c>
      <c r="L7">
        <v>256.96999999999997</v>
      </c>
    </row>
    <row r="8" spans="1:12">
      <c r="A8" s="2">
        <v>45980</v>
      </c>
      <c r="B8" t="s">
        <v>44</v>
      </c>
      <c r="C8">
        <v>63565</v>
      </c>
      <c r="D8">
        <v>1526</v>
      </c>
      <c r="E8" t="s">
        <v>63</v>
      </c>
      <c r="F8" t="s">
        <v>46</v>
      </c>
      <c r="G8" s="77" t="s">
        <v>57</v>
      </c>
      <c r="H8" t="s">
        <v>48</v>
      </c>
      <c r="K8">
        <v>0.28971000000000002</v>
      </c>
      <c r="L8">
        <v>289.71000000000004</v>
      </c>
    </row>
    <row r="9" spans="1:12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G9" s="77" t="s">
        <v>57</v>
      </c>
      <c r="H9" t="s">
        <v>48</v>
      </c>
      <c r="K9">
        <v>0.1217</v>
      </c>
      <c r="L9">
        <v>121.7</v>
      </c>
    </row>
    <row r="10" spans="1:12">
      <c r="A10" s="2">
        <v>45981</v>
      </c>
      <c r="B10" t="s">
        <v>44</v>
      </c>
      <c r="C10">
        <v>63552</v>
      </c>
      <c r="D10">
        <v>1528</v>
      </c>
      <c r="E10" t="s">
        <v>51</v>
      </c>
      <c r="F10" t="s">
        <v>65</v>
      </c>
      <c r="G10" s="77" t="s">
        <v>57</v>
      </c>
      <c r="H10" t="s">
        <v>48</v>
      </c>
      <c r="I10" t="s">
        <v>66</v>
      </c>
      <c r="K10">
        <v>0.18126</v>
      </c>
      <c r="L10">
        <v>181.26</v>
      </c>
    </row>
    <row r="11" spans="1:12">
      <c r="A11" s="2">
        <v>45981</v>
      </c>
      <c r="B11" t="s">
        <v>44</v>
      </c>
      <c r="C11">
        <v>63553</v>
      </c>
      <c r="D11">
        <v>1529</v>
      </c>
      <c r="E11" t="s">
        <v>53</v>
      </c>
      <c r="F11" t="s">
        <v>65</v>
      </c>
      <c r="G11" s="77" t="s">
        <v>57</v>
      </c>
      <c r="H11" t="s">
        <v>54</v>
      </c>
      <c r="I11" t="s">
        <v>67</v>
      </c>
      <c r="K11">
        <v>0.14752999999999999</v>
      </c>
      <c r="L11">
        <v>147.53</v>
      </c>
    </row>
    <row r="12" spans="1:12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G12" s="77" t="s">
        <v>47</v>
      </c>
      <c r="H12" t="s">
        <v>54</v>
      </c>
      <c r="K12">
        <v>0.15720999999999999</v>
      </c>
      <c r="L12">
        <v>157.20999999999998</v>
      </c>
    </row>
    <row r="13" spans="1:12">
      <c r="A13" s="2">
        <v>45985</v>
      </c>
      <c r="B13" t="s">
        <v>69</v>
      </c>
      <c r="C13">
        <v>63550</v>
      </c>
      <c r="D13" s="19">
        <v>1531</v>
      </c>
      <c r="E13" t="s">
        <v>68</v>
      </c>
      <c r="F13" t="s">
        <v>65</v>
      </c>
      <c r="G13" s="77" t="s">
        <v>47</v>
      </c>
      <c r="H13" t="s">
        <v>54</v>
      </c>
      <c r="K13">
        <v>0.49238999999999999</v>
      </c>
      <c r="L13">
        <v>492.39</v>
      </c>
    </row>
    <row r="14" spans="1:12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G14" s="77" t="s">
        <v>47</v>
      </c>
      <c r="H14" t="s">
        <v>54</v>
      </c>
      <c r="I14" t="s">
        <v>73</v>
      </c>
      <c r="K14">
        <v>0.17388000000000001</v>
      </c>
      <c r="L14">
        <v>173.88</v>
      </c>
    </row>
    <row r="15" spans="1:12">
      <c r="A15" s="2">
        <v>45985</v>
      </c>
      <c r="B15" t="s">
        <v>69</v>
      </c>
      <c r="C15">
        <v>63550</v>
      </c>
      <c r="D15" s="19">
        <v>1533</v>
      </c>
      <c r="E15" t="s">
        <v>74</v>
      </c>
      <c r="F15" t="s">
        <v>65</v>
      </c>
      <c r="G15" s="77" t="s">
        <v>47</v>
      </c>
      <c r="H15" t="s">
        <v>54</v>
      </c>
      <c r="K15" s="4"/>
      <c r="L15" s="4"/>
    </row>
    <row r="16" spans="1:12">
      <c r="A16" s="2">
        <v>45985</v>
      </c>
      <c r="B16" t="s">
        <v>44</v>
      </c>
      <c r="C16">
        <v>63551</v>
      </c>
      <c r="D16">
        <v>1534</v>
      </c>
      <c r="E16" t="s">
        <v>76</v>
      </c>
      <c r="F16" t="s">
        <v>65</v>
      </c>
      <c r="G16" s="77" t="s">
        <v>47</v>
      </c>
      <c r="H16" t="s">
        <v>48</v>
      </c>
      <c r="I16" t="s">
        <v>77</v>
      </c>
      <c r="K16">
        <v>8.2239999999999994E-2</v>
      </c>
      <c r="L16">
        <v>82.24</v>
      </c>
    </row>
    <row r="17" spans="1:12">
      <c r="A17" s="2">
        <v>46000</v>
      </c>
      <c r="B17" t="s">
        <v>69</v>
      </c>
      <c r="C17">
        <v>63542</v>
      </c>
      <c r="D17" s="19">
        <v>1536</v>
      </c>
      <c r="E17" t="s">
        <v>78</v>
      </c>
      <c r="F17" t="s">
        <v>65</v>
      </c>
      <c r="G17" s="77" t="s">
        <v>57</v>
      </c>
      <c r="H17" t="s">
        <v>48</v>
      </c>
      <c r="I17" t="s">
        <v>79</v>
      </c>
      <c r="K17">
        <v>9.289E-2</v>
      </c>
      <c r="L17">
        <v>92.89</v>
      </c>
    </row>
    <row r="18" spans="1:12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G18" s="77" t="s">
        <v>57</v>
      </c>
      <c r="H18" t="s">
        <v>54</v>
      </c>
      <c r="I18" t="s">
        <v>81</v>
      </c>
      <c r="K18">
        <v>8.6360000000000006E-2</v>
      </c>
      <c r="L18">
        <v>86.36</v>
      </c>
    </row>
    <row r="19" spans="1:12">
      <c r="A19" s="2">
        <v>46000</v>
      </c>
      <c r="B19" t="s">
        <v>69</v>
      </c>
      <c r="C19">
        <v>63543</v>
      </c>
      <c r="D19" s="19">
        <v>1538</v>
      </c>
      <c r="E19" t="s">
        <v>82</v>
      </c>
      <c r="F19" t="s">
        <v>65</v>
      </c>
      <c r="G19" s="77" t="s">
        <v>57</v>
      </c>
      <c r="H19" t="s">
        <v>54</v>
      </c>
      <c r="I19" t="s">
        <v>83</v>
      </c>
      <c r="K19">
        <v>7.8490000000000004E-2</v>
      </c>
      <c r="L19">
        <v>78.490000000000009</v>
      </c>
    </row>
    <row r="20" spans="1:12">
      <c r="A20" s="2">
        <v>46000</v>
      </c>
      <c r="B20" t="s">
        <v>44</v>
      </c>
      <c r="C20">
        <v>63543</v>
      </c>
      <c r="D20">
        <v>1539</v>
      </c>
      <c r="E20" t="s">
        <v>84</v>
      </c>
      <c r="F20" t="s">
        <v>65</v>
      </c>
      <c r="G20" s="77" t="s">
        <v>57</v>
      </c>
      <c r="H20" t="s">
        <v>54</v>
      </c>
      <c r="I20" t="s">
        <v>85</v>
      </c>
      <c r="K20">
        <v>0.13696</v>
      </c>
      <c r="L20">
        <v>136.96</v>
      </c>
    </row>
    <row r="21" spans="1:12">
      <c r="A21" s="2">
        <v>46001</v>
      </c>
      <c r="B21" t="s">
        <v>69</v>
      </c>
      <c r="C21">
        <v>63558</v>
      </c>
      <c r="D21">
        <v>1540</v>
      </c>
      <c r="E21" t="s">
        <v>86</v>
      </c>
      <c r="F21" t="s">
        <v>46</v>
      </c>
      <c r="G21" s="77" t="s">
        <v>47</v>
      </c>
      <c r="H21" t="s">
        <v>54</v>
      </c>
      <c r="K21">
        <v>0.13624</v>
      </c>
      <c r="L21">
        <v>136.24</v>
      </c>
    </row>
    <row r="22" spans="1:12">
      <c r="A22" s="2">
        <v>46001</v>
      </c>
      <c r="B22" t="s">
        <v>69</v>
      </c>
      <c r="C22">
        <v>63559</v>
      </c>
      <c r="D22" s="19">
        <v>1541</v>
      </c>
      <c r="E22" t="s">
        <v>87</v>
      </c>
      <c r="F22" t="s">
        <v>46</v>
      </c>
      <c r="G22" s="77" t="s">
        <v>47</v>
      </c>
      <c r="H22" t="s">
        <v>48</v>
      </c>
      <c r="I22" t="s">
        <v>88</v>
      </c>
      <c r="K22">
        <v>6.6180000000000003E-2</v>
      </c>
      <c r="L22">
        <v>66.180000000000007</v>
      </c>
    </row>
    <row r="23" spans="1:12">
      <c r="A23" s="2">
        <v>46001</v>
      </c>
      <c r="B23" t="s">
        <v>90</v>
      </c>
      <c r="C23">
        <v>63559</v>
      </c>
      <c r="D23" s="19">
        <v>1542</v>
      </c>
      <c r="E23" t="s">
        <v>91</v>
      </c>
      <c r="F23" t="s">
        <v>46</v>
      </c>
      <c r="G23" s="77" t="s">
        <v>47</v>
      </c>
      <c r="H23" t="s">
        <v>48</v>
      </c>
      <c r="K23">
        <v>3.3410000000000002E-2</v>
      </c>
      <c r="L23">
        <v>33.410000000000004</v>
      </c>
    </row>
    <row r="24" spans="1:12">
      <c r="A24" s="2">
        <v>46002</v>
      </c>
      <c r="B24" t="s">
        <v>69</v>
      </c>
      <c r="C24">
        <v>63560</v>
      </c>
      <c r="D24">
        <v>1543</v>
      </c>
      <c r="E24" t="s">
        <v>93</v>
      </c>
      <c r="F24" t="s">
        <v>46</v>
      </c>
      <c r="G24" s="77" t="s">
        <v>57</v>
      </c>
      <c r="H24" t="s">
        <v>54</v>
      </c>
      <c r="I24" t="s">
        <v>94</v>
      </c>
      <c r="K24">
        <v>0.14402000000000001</v>
      </c>
      <c r="L24">
        <v>144.02000000000001</v>
      </c>
    </row>
    <row r="25" spans="1:12">
      <c r="A25" s="2">
        <v>46002</v>
      </c>
      <c r="B25" t="s">
        <v>69</v>
      </c>
      <c r="C25">
        <v>63561</v>
      </c>
      <c r="D25" s="19">
        <v>1544</v>
      </c>
      <c r="E25" t="s">
        <v>95</v>
      </c>
      <c r="F25" t="s">
        <v>46</v>
      </c>
      <c r="G25" s="77" t="s">
        <v>57</v>
      </c>
      <c r="H25" t="s">
        <v>48</v>
      </c>
      <c r="I25" t="s">
        <v>96</v>
      </c>
      <c r="K25">
        <v>0.26940999999999998</v>
      </c>
      <c r="L25">
        <v>269.40999999999997</v>
      </c>
    </row>
    <row r="26" spans="1:12">
      <c r="A26" s="2">
        <v>46002</v>
      </c>
      <c r="B26" t="s">
        <v>44</v>
      </c>
      <c r="C26">
        <v>63561</v>
      </c>
      <c r="D26">
        <v>1545</v>
      </c>
      <c r="E26" t="s">
        <v>97</v>
      </c>
      <c r="F26" t="s">
        <v>46</v>
      </c>
      <c r="G26" s="77" t="s">
        <v>57</v>
      </c>
      <c r="H26" t="s">
        <v>48</v>
      </c>
      <c r="K26">
        <v>0.24323</v>
      </c>
      <c r="L26">
        <v>243.23</v>
      </c>
    </row>
    <row r="27" spans="1:12">
      <c r="A27" s="2">
        <v>46002</v>
      </c>
      <c r="B27" t="s">
        <v>90</v>
      </c>
      <c r="C27">
        <v>63560</v>
      </c>
      <c r="D27" s="19">
        <v>1546</v>
      </c>
      <c r="F27" t="s">
        <v>46</v>
      </c>
      <c r="G27" s="77" t="s">
        <v>57</v>
      </c>
      <c r="H27" t="s">
        <v>48</v>
      </c>
      <c r="K27">
        <v>0.14613999999999999</v>
      </c>
      <c r="L27">
        <v>146.13999999999999</v>
      </c>
    </row>
    <row r="28" spans="1:12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G28" s="77" t="s">
        <v>47</v>
      </c>
      <c r="H28" t="s">
        <v>54</v>
      </c>
      <c r="I28" t="s">
        <v>100</v>
      </c>
      <c r="K28">
        <v>0.1047</v>
      </c>
      <c r="L28">
        <v>104.7</v>
      </c>
    </row>
    <row r="29" spans="1:12">
      <c r="A29" s="2">
        <v>46003</v>
      </c>
      <c r="B29" t="s">
        <v>101</v>
      </c>
      <c r="C29">
        <v>63544</v>
      </c>
      <c r="D29" s="19">
        <v>1548</v>
      </c>
      <c r="E29" t="s">
        <v>102</v>
      </c>
      <c r="F29" t="s">
        <v>65</v>
      </c>
      <c r="G29" s="77" t="s">
        <v>47</v>
      </c>
      <c r="H29" t="s">
        <v>54</v>
      </c>
      <c r="I29" t="s">
        <v>103</v>
      </c>
      <c r="K29">
        <v>0.32184000000000001</v>
      </c>
      <c r="L29">
        <v>321.84000000000003</v>
      </c>
    </row>
    <row r="30" spans="1:12">
      <c r="A30" s="2">
        <v>46003</v>
      </c>
      <c r="B30" t="s">
        <v>90</v>
      </c>
      <c r="C30">
        <v>63544</v>
      </c>
      <c r="D30">
        <v>1549</v>
      </c>
      <c r="E30" t="s">
        <v>104</v>
      </c>
      <c r="F30" t="s">
        <v>65</v>
      </c>
      <c r="G30" s="77" t="s">
        <v>47</v>
      </c>
      <c r="H30" t="s">
        <v>54</v>
      </c>
      <c r="K30">
        <v>0.13566</v>
      </c>
      <c r="L30">
        <v>135.66</v>
      </c>
    </row>
    <row r="31" spans="1:12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G31" s="77" t="s">
        <v>47</v>
      </c>
      <c r="H31" t="s">
        <v>48</v>
      </c>
      <c r="I31" t="s">
        <v>106</v>
      </c>
      <c r="K31">
        <v>0.12542</v>
      </c>
      <c r="L31">
        <v>125.42</v>
      </c>
    </row>
    <row r="32" spans="1:12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G32" s="77" t="s">
        <v>47</v>
      </c>
      <c r="H32" t="s">
        <v>108</v>
      </c>
      <c r="I32" t="s">
        <v>109</v>
      </c>
      <c r="K32">
        <v>0.19838</v>
      </c>
      <c r="L32">
        <v>198.38</v>
      </c>
    </row>
    <row r="33" spans="1:13">
      <c r="A33" s="2">
        <v>46003</v>
      </c>
      <c r="B33" t="s">
        <v>90</v>
      </c>
      <c r="C33">
        <v>63545</v>
      </c>
      <c r="D33" s="81">
        <v>1552</v>
      </c>
      <c r="E33" t="s">
        <v>110</v>
      </c>
      <c r="F33" t="s">
        <v>65</v>
      </c>
      <c r="G33" s="77" t="s">
        <v>47</v>
      </c>
      <c r="H33" t="s">
        <v>48</v>
      </c>
      <c r="K33">
        <v>0.1048</v>
      </c>
      <c r="L33">
        <v>104.80000000000001</v>
      </c>
    </row>
    <row r="34" spans="1:13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G34" s="77" t="s">
        <v>57</v>
      </c>
      <c r="H34" t="s">
        <v>48</v>
      </c>
      <c r="K34">
        <v>0.15837000000000001</v>
      </c>
      <c r="L34">
        <v>158.37</v>
      </c>
    </row>
    <row r="35" spans="1:13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G35" s="77" t="s">
        <v>57</v>
      </c>
      <c r="H35" t="s">
        <v>48</v>
      </c>
      <c r="K35">
        <v>0.19289000000000001</v>
      </c>
      <c r="L35">
        <v>192.89000000000001</v>
      </c>
    </row>
    <row r="36" spans="1:13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G36" s="77" t="s">
        <v>57</v>
      </c>
      <c r="H36" t="s">
        <v>48</v>
      </c>
      <c r="I36" t="s">
        <v>112</v>
      </c>
      <c r="K36">
        <v>0.30702000000000002</v>
      </c>
      <c r="L36">
        <v>307.02000000000004</v>
      </c>
    </row>
    <row r="37" spans="1:13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G37" s="77" t="s">
        <v>57</v>
      </c>
      <c r="H37" t="s">
        <v>48</v>
      </c>
      <c r="K37">
        <v>0.17388999999999999</v>
      </c>
      <c r="L37">
        <v>173.89</v>
      </c>
    </row>
    <row r="38" spans="1:13">
      <c r="A38" s="2">
        <v>46007</v>
      </c>
      <c r="B38" t="s">
        <v>90</v>
      </c>
      <c r="C38">
        <v>63549</v>
      </c>
      <c r="D38">
        <v>1557</v>
      </c>
      <c r="E38" t="s">
        <v>114</v>
      </c>
      <c r="F38" t="s">
        <v>65</v>
      </c>
      <c r="G38" s="77" t="s">
        <v>57</v>
      </c>
      <c r="H38" t="s">
        <v>48</v>
      </c>
      <c r="I38" t="s">
        <v>115</v>
      </c>
      <c r="K38">
        <v>0.12078999999999999</v>
      </c>
      <c r="L38">
        <v>120.78999999999999</v>
      </c>
    </row>
    <row r="39" spans="1:13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G39" s="77" t="s">
        <v>57</v>
      </c>
      <c r="H39" t="s">
        <v>54</v>
      </c>
      <c r="K39">
        <v>0.21157999999999999</v>
      </c>
      <c r="L39">
        <v>211.57999999999998</v>
      </c>
    </row>
    <row r="40" spans="1:13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G40" s="77" t="s">
        <v>57</v>
      </c>
      <c r="H40" t="s">
        <v>54</v>
      </c>
      <c r="K40">
        <v>0.12225</v>
      </c>
      <c r="L40">
        <v>122.25</v>
      </c>
    </row>
    <row r="41" spans="1:13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G41" s="77" t="s">
        <v>57</v>
      </c>
      <c r="H41" t="s">
        <v>54</v>
      </c>
      <c r="I41" t="s">
        <v>119</v>
      </c>
      <c r="K41">
        <v>0.10581</v>
      </c>
      <c r="L41">
        <v>105.81</v>
      </c>
    </row>
    <row r="42" spans="1:13">
      <c r="A42" s="2">
        <v>46007</v>
      </c>
      <c r="B42" t="s">
        <v>90</v>
      </c>
      <c r="C42">
        <v>63546</v>
      </c>
      <c r="D42" s="58">
        <v>1561</v>
      </c>
      <c r="E42" t="s">
        <v>120</v>
      </c>
      <c r="F42" t="s">
        <v>65</v>
      </c>
      <c r="G42" s="82" t="s">
        <v>57</v>
      </c>
      <c r="H42" t="s">
        <v>54</v>
      </c>
      <c r="I42" t="s">
        <v>121</v>
      </c>
      <c r="K42" s="4"/>
      <c r="L42" s="4"/>
      <c r="M42" t="s">
        <v>264</v>
      </c>
    </row>
    <row r="43" spans="1:13">
      <c r="A43" s="2">
        <v>46008</v>
      </c>
      <c r="B43" t="s">
        <v>90</v>
      </c>
      <c r="C43">
        <v>63554</v>
      </c>
      <c r="D43" s="19">
        <v>1562</v>
      </c>
      <c r="E43" t="s">
        <v>91</v>
      </c>
      <c r="F43" t="s">
        <v>46</v>
      </c>
      <c r="G43" s="77" t="s">
        <v>57</v>
      </c>
      <c r="H43" t="s">
        <v>54</v>
      </c>
      <c r="K43">
        <v>0.72482000000000002</v>
      </c>
      <c r="L43">
        <v>724.82</v>
      </c>
    </row>
    <row r="44" spans="1:13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G44" s="77" t="s">
        <v>57</v>
      </c>
      <c r="H44" t="s">
        <v>54</v>
      </c>
      <c r="I44" t="s">
        <v>123</v>
      </c>
      <c r="K44">
        <v>9.9320000000000006E-2</v>
      </c>
      <c r="L44">
        <v>99.320000000000007</v>
      </c>
    </row>
    <row r="45" spans="1:13">
      <c r="A45" s="2">
        <v>46008</v>
      </c>
      <c r="B45" t="s">
        <v>44</v>
      </c>
      <c r="C45">
        <v>63554</v>
      </c>
      <c r="D45">
        <v>1564</v>
      </c>
      <c r="E45" t="s">
        <v>124</v>
      </c>
      <c r="F45" t="s">
        <v>46</v>
      </c>
      <c r="G45" s="77" t="s">
        <v>57</v>
      </c>
      <c r="H45" t="s">
        <v>54</v>
      </c>
      <c r="I45" t="s">
        <v>125</v>
      </c>
      <c r="K45">
        <v>0.11252</v>
      </c>
      <c r="L45">
        <v>112.52</v>
      </c>
    </row>
    <row r="46" spans="1:13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G46" s="77" t="s">
        <v>57</v>
      </c>
      <c r="H46" t="s">
        <v>48</v>
      </c>
      <c r="I46" t="s">
        <v>127</v>
      </c>
      <c r="K46">
        <v>0.27510000000000001</v>
      </c>
      <c r="L46">
        <v>275.10000000000002</v>
      </c>
    </row>
    <row r="47" spans="1:13">
      <c r="A47" s="2">
        <v>46008</v>
      </c>
      <c r="B47" t="s">
        <v>90</v>
      </c>
      <c r="C47">
        <v>63555</v>
      </c>
      <c r="D47" s="19">
        <v>1566</v>
      </c>
      <c r="E47" t="s">
        <v>104</v>
      </c>
      <c r="F47" t="s">
        <v>46</v>
      </c>
      <c r="G47" s="77" t="s">
        <v>57</v>
      </c>
      <c r="H47" t="s">
        <v>48</v>
      </c>
      <c r="K47">
        <v>0.16098000000000001</v>
      </c>
      <c r="L47">
        <v>160.98000000000002</v>
      </c>
    </row>
    <row r="48" spans="1:13">
      <c r="A48" s="2">
        <v>46008</v>
      </c>
      <c r="B48" t="s">
        <v>90</v>
      </c>
      <c r="C48">
        <v>63555</v>
      </c>
      <c r="D48">
        <v>1567</v>
      </c>
      <c r="E48" t="s">
        <v>110</v>
      </c>
      <c r="F48" t="s">
        <v>46</v>
      </c>
      <c r="G48" s="77" t="s">
        <v>57</v>
      </c>
      <c r="H48" t="s">
        <v>48</v>
      </c>
      <c r="K48">
        <v>0.24883</v>
      </c>
      <c r="L48">
        <v>248.82999999999998</v>
      </c>
    </row>
    <row r="49" spans="1:12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G49" s="77" t="s">
        <v>47</v>
      </c>
      <c r="H49" t="s">
        <v>54</v>
      </c>
      <c r="K49">
        <v>0.13056000000000001</v>
      </c>
      <c r="L49">
        <v>130.56</v>
      </c>
    </row>
    <row r="50" spans="1:12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G50" s="77" t="s">
        <v>47</v>
      </c>
      <c r="H50" t="s">
        <v>54</v>
      </c>
      <c r="K50">
        <v>0.42055999999999999</v>
      </c>
      <c r="L50">
        <v>420.56</v>
      </c>
    </row>
    <row r="51" spans="1:12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G51" s="77" t="s">
        <v>47</v>
      </c>
      <c r="H51" t="s">
        <v>54</v>
      </c>
      <c r="I51" t="s">
        <v>130</v>
      </c>
      <c r="K51">
        <v>0.15557000000000001</v>
      </c>
      <c r="L51">
        <v>155.57000000000002</v>
      </c>
    </row>
    <row r="52" spans="1:12">
      <c r="A52" s="2">
        <v>46009</v>
      </c>
      <c r="B52" t="s">
        <v>44</v>
      </c>
      <c r="C52">
        <v>63556</v>
      </c>
      <c r="D52" s="58">
        <v>1571</v>
      </c>
      <c r="E52" t="s">
        <v>120</v>
      </c>
      <c r="F52" t="s">
        <v>46</v>
      </c>
      <c r="G52" s="82" t="s">
        <v>47</v>
      </c>
      <c r="H52" t="s">
        <v>54</v>
      </c>
      <c r="K52">
        <v>0.11781999999999999</v>
      </c>
      <c r="L52">
        <v>117.82</v>
      </c>
    </row>
    <row r="53" spans="1:12">
      <c r="A53" s="2">
        <v>46009</v>
      </c>
      <c r="B53" t="s">
        <v>44</v>
      </c>
      <c r="C53">
        <v>63557</v>
      </c>
      <c r="D53">
        <v>1572</v>
      </c>
      <c r="E53" t="s">
        <v>131</v>
      </c>
      <c r="F53" t="s">
        <v>46</v>
      </c>
      <c r="G53" s="77" t="s">
        <v>47</v>
      </c>
      <c r="H53" t="s">
        <v>48</v>
      </c>
      <c r="I53" t="s">
        <v>132</v>
      </c>
      <c r="K53">
        <v>0.10051</v>
      </c>
      <c r="L53">
        <v>100.51</v>
      </c>
    </row>
    <row r="54" spans="1:12">
      <c r="A54" s="2">
        <v>46010</v>
      </c>
      <c r="B54" t="s">
        <v>69</v>
      </c>
      <c r="C54">
        <v>63547</v>
      </c>
      <c r="D54">
        <v>1573</v>
      </c>
      <c r="E54" t="s">
        <v>133</v>
      </c>
      <c r="F54" t="s">
        <v>65</v>
      </c>
      <c r="G54" s="77" t="s">
        <v>47</v>
      </c>
      <c r="H54" t="s">
        <v>48</v>
      </c>
      <c r="I54" t="s">
        <v>134</v>
      </c>
      <c r="K54">
        <v>0.21404000000000001</v>
      </c>
      <c r="L54">
        <v>214.04000000000002</v>
      </c>
    </row>
    <row r="55" spans="1:12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G55" s="77" t="s">
        <v>47</v>
      </c>
      <c r="H55" t="s">
        <v>54</v>
      </c>
      <c r="I55" t="s">
        <v>135</v>
      </c>
      <c r="K55">
        <v>0.12021999999999999</v>
      </c>
      <c r="L55">
        <v>120.22</v>
      </c>
    </row>
    <row r="56" spans="1:12">
      <c r="A56" s="2">
        <v>46010</v>
      </c>
      <c r="B56" t="s">
        <v>90</v>
      </c>
      <c r="C56">
        <v>63548</v>
      </c>
      <c r="D56" s="58">
        <v>1575</v>
      </c>
      <c r="E56" t="s">
        <v>87</v>
      </c>
      <c r="F56" t="s">
        <v>65</v>
      </c>
      <c r="G56" s="82" t="s">
        <v>47</v>
      </c>
      <c r="H56" t="s">
        <v>54</v>
      </c>
      <c r="I56" t="s">
        <v>136</v>
      </c>
      <c r="K56">
        <v>0.11405999999999999</v>
      </c>
      <c r="L56">
        <v>114.05999999999999</v>
      </c>
    </row>
    <row r="57" spans="1:12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G57" s="77" t="s">
        <v>47</v>
      </c>
      <c r="H57" t="s">
        <v>54</v>
      </c>
      <c r="I57" t="s">
        <v>138</v>
      </c>
      <c r="K57">
        <v>0.15125</v>
      </c>
      <c r="L57">
        <v>151.25</v>
      </c>
    </row>
    <row r="58" spans="1:12">
      <c r="A58" s="2">
        <v>46010</v>
      </c>
      <c r="B58" t="s">
        <v>90</v>
      </c>
      <c r="C58">
        <v>63548</v>
      </c>
      <c r="D58">
        <v>1577</v>
      </c>
      <c r="E58" t="s">
        <v>110</v>
      </c>
      <c r="F58" t="s">
        <v>65</v>
      </c>
      <c r="G58" t="s">
        <v>47</v>
      </c>
      <c r="H58" t="s">
        <v>54</v>
      </c>
      <c r="I58" t="s">
        <v>139</v>
      </c>
      <c r="K58">
        <v>0.20818</v>
      </c>
      <c r="L58">
        <v>208.18</v>
      </c>
    </row>
    <row r="59" spans="1:12">
      <c r="A59" s="2">
        <v>46028</v>
      </c>
      <c r="B59" t="s">
        <v>44</v>
      </c>
      <c r="C59">
        <v>64063</v>
      </c>
      <c r="D59">
        <v>1578</v>
      </c>
      <c r="E59" t="s">
        <v>140</v>
      </c>
      <c r="F59" t="s">
        <v>46</v>
      </c>
      <c r="G59" t="s">
        <v>47</v>
      </c>
      <c r="H59" t="s">
        <v>48</v>
      </c>
      <c r="I59" t="s">
        <v>141</v>
      </c>
      <c r="K59">
        <v>0.1477</v>
      </c>
      <c r="L59">
        <v>147.69999999999999</v>
      </c>
    </row>
    <row r="60" spans="1:12">
      <c r="A60" s="2">
        <v>46028</v>
      </c>
      <c r="B60" t="s">
        <v>44</v>
      </c>
      <c r="C60">
        <v>64063</v>
      </c>
      <c r="D60">
        <v>1579</v>
      </c>
      <c r="E60" t="s">
        <v>142</v>
      </c>
      <c r="F60" t="s">
        <v>46</v>
      </c>
      <c r="G60" t="s">
        <v>47</v>
      </c>
      <c r="H60" t="s">
        <v>48</v>
      </c>
      <c r="I60" t="s">
        <v>143</v>
      </c>
      <c r="K60">
        <v>9.9540000000000003E-2</v>
      </c>
      <c r="L60">
        <v>99.54</v>
      </c>
    </row>
    <row r="61" spans="1:12">
      <c r="A61" s="2">
        <v>46028</v>
      </c>
      <c r="B61" t="s">
        <v>44</v>
      </c>
      <c r="C61">
        <v>64064</v>
      </c>
      <c r="D61">
        <v>1580</v>
      </c>
      <c r="E61" t="s">
        <v>144</v>
      </c>
      <c r="F61" t="s">
        <v>46</v>
      </c>
      <c r="G61" t="s">
        <v>47</v>
      </c>
      <c r="H61" t="s">
        <v>54</v>
      </c>
      <c r="K61">
        <v>0.14746000000000001</v>
      </c>
      <c r="L61">
        <v>147.46</v>
      </c>
    </row>
    <row r="62" spans="1:12">
      <c r="A62" s="2">
        <v>46028</v>
      </c>
      <c r="B62" t="s">
        <v>44</v>
      </c>
      <c r="C62">
        <v>64064</v>
      </c>
      <c r="D62">
        <v>1581</v>
      </c>
      <c r="E62" t="s">
        <v>145</v>
      </c>
      <c r="F62" t="s">
        <v>46</v>
      </c>
      <c r="G62" t="s">
        <v>47</v>
      </c>
      <c r="H62" t="s">
        <v>54</v>
      </c>
      <c r="K62">
        <v>0.21632999999999999</v>
      </c>
      <c r="L62">
        <v>216.32999999999998</v>
      </c>
    </row>
    <row r="63" spans="1:12">
      <c r="A63" s="2">
        <v>46028</v>
      </c>
      <c r="B63" t="s">
        <v>90</v>
      </c>
      <c r="C63">
        <v>64064</v>
      </c>
      <c r="D63" s="19">
        <v>1582</v>
      </c>
      <c r="E63" t="s">
        <v>102</v>
      </c>
      <c r="F63" t="s">
        <v>46</v>
      </c>
      <c r="G63" t="s">
        <v>47</v>
      </c>
      <c r="H63" t="s">
        <v>54</v>
      </c>
      <c r="K63">
        <v>3.882E-2</v>
      </c>
      <c r="L63">
        <v>38.82</v>
      </c>
    </row>
    <row r="64" spans="1:12">
      <c r="A64" s="2">
        <v>46030</v>
      </c>
      <c r="B64" t="s">
        <v>44</v>
      </c>
      <c r="C64">
        <v>64055</v>
      </c>
      <c r="D64">
        <v>1583</v>
      </c>
      <c r="E64" t="s">
        <v>99</v>
      </c>
      <c r="F64" t="s">
        <v>65</v>
      </c>
      <c r="G64" t="s">
        <v>47</v>
      </c>
      <c r="H64" t="s">
        <v>48</v>
      </c>
      <c r="I64" t="s">
        <v>147</v>
      </c>
      <c r="K64">
        <v>0.23666000000000001</v>
      </c>
      <c r="L64">
        <v>236.66</v>
      </c>
    </row>
    <row r="65" spans="1:12">
      <c r="A65" s="2">
        <v>46030</v>
      </c>
      <c r="B65" t="s">
        <v>44</v>
      </c>
      <c r="C65">
        <v>64056</v>
      </c>
      <c r="D65">
        <v>1584</v>
      </c>
      <c r="E65" t="s">
        <v>148</v>
      </c>
      <c r="F65" t="s">
        <v>65</v>
      </c>
      <c r="G65" t="s">
        <v>47</v>
      </c>
      <c r="H65" t="s">
        <v>54</v>
      </c>
      <c r="K65">
        <v>0.10568</v>
      </c>
      <c r="L65">
        <v>105.67999999999999</v>
      </c>
    </row>
    <row r="66" spans="1:12">
      <c r="A66" s="2">
        <v>46030</v>
      </c>
      <c r="B66" t="s">
        <v>69</v>
      </c>
      <c r="C66">
        <v>64056</v>
      </c>
      <c r="D66">
        <v>1585</v>
      </c>
      <c r="E66" t="s">
        <v>149</v>
      </c>
      <c r="F66" t="s">
        <v>65</v>
      </c>
      <c r="G66" t="s">
        <v>47</v>
      </c>
      <c r="H66" t="s">
        <v>54</v>
      </c>
      <c r="K66">
        <v>0.13568</v>
      </c>
      <c r="L66">
        <v>135.68</v>
      </c>
    </row>
    <row r="67" spans="1:12">
      <c r="A67" s="2">
        <v>46030</v>
      </c>
      <c r="B67" t="s">
        <v>90</v>
      </c>
      <c r="C67">
        <v>64056</v>
      </c>
      <c r="D67">
        <v>1586</v>
      </c>
      <c r="E67" t="s">
        <v>149</v>
      </c>
      <c r="F67" t="s">
        <v>65</v>
      </c>
      <c r="G67" t="s">
        <v>47</v>
      </c>
      <c r="H67" t="s">
        <v>54</v>
      </c>
      <c r="K67">
        <v>0.27076</v>
      </c>
      <c r="L67">
        <v>270.76</v>
      </c>
    </row>
    <row r="68" spans="1:12">
      <c r="A68" s="2">
        <v>46030</v>
      </c>
      <c r="B68" t="s">
        <v>90</v>
      </c>
      <c r="C68">
        <v>64056</v>
      </c>
      <c r="D68">
        <v>1587</v>
      </c>
      <c r="E68" t="s">
        <v>150</v>
      </c>
      <c r="F68" t="s">
        <v>65</v>
      </c>
      <c r="G68" t="s">
        <v>47</v>
      </c>
      <c r="H68" t="s">
        <v>54</v>
      </c>
      <c r="I68" t="s">
        <v>151</v>
      </c>
      <c r="K68">
        <v>0.24007999999999999</v>
      </c>
      <c r="L68">
        <v>240.07999999999998</v>
      </c>
    </row>
    <row r="69" spans="1:12">
      <c r="A69" s="2">
        <v>46031</v>
      </c>
      <c r="B69" t="s">
        <v>90</v>
      </c>
      <c r="C69">
        <v>64065</v>
      </c>
      <c r="D69" s="19">
        <v>1588</v>
      </c>
      <c r="E69" t="s">
        <v>68</v>
      </c>
      <c r="F69" t="s">
        <v>46</v>
      </c>
      <c r="G69" t="s">
        <v>57</v>
      </c>
      <c r="H69" t="s">
        <v>54</v>
      </c>
      <c r="I69" t="s">
        <v>153</v>
      </c>
      <c r="K69">
        <v>0.16347</v>
      </c>
      <c r="L69">
        <v>163.47</v>
      </c>
    </row>
    <row r="70" spans="1:12">
      <c r="A70" s="2">
        <v>46031</v>
      </c>
      <c r="B70" t="s">
        <v>44</v>
      </c>
      <c r="C70">
        <v>64065</v>
      </c>
      <c r="D70">
        <v>1589</v>
      </c>
      <c r="E70" t="s">
        <v>99</v>
      </c>
      <c r="F70" t="s">
        <v>46</v>
      </c>
      <c r="G70" t="s">
        <v>57</v>
      </c>
      <c r="H70" t="s">
        <v>54</v>
      </c>
      <c r="K70">
        <v>0.11899</v>
      </c>
      <c r="L70">
        <v>118.99</v>
      </c>
    </row>
    <row r="71" spans="1:12">
      <c r="A71" s="2">
        <v>46031</v>
      </c>
      <c r="B71" t="s">
        <v>44</v>
      </c>
      <c r="C71">
        <v>64065</v>
      </c>
      <c r="D71">
        <v>1590</v>
      </c>
      <c r="E71" t="s">
        <v>142</v>
      </c>
      <c r="F71" t="s">
        <v>46</v>
      </c>
      <c r="G71" t="s">
        <v>57</v>
      </c>
      <c r="H71" t="s">
        <v>54</v>
      </c>
      <c r="I71" t="s">
        <v>155</v>
      </c>
      <c r="K71">
        <v>9.6310000000000007E-2</v>
      </c>
      <c r="L71">
        <v>96.31</v>
      </c>
    </row>
    <row r="72" spans="1:12">
      <c r="A72" s="2">
        <v>46031</v>
      </c>
      <c r="B72" t="s">
        <v>69</v>
      </c>
      <c r="C72">
        <v>64066</v>
      </c>
      <c r="D72">
        <v>1591</v>
      </c>
      <c r="E72" t="s">
        <v>99</v>
      </c>
      <c r="F72" t="s">
        <v>46</v>
      </c>
      <c r="G72" t="s">
        <v>57</v>
      </c>
      <c r="H72" t="s">
        <v>48</v>
      </c>
      <c r="I72" t="s">
        <v>153</v>
      </c>
      <c r="K72">
        <v>0.13568</v>
      </c>
      <c r="L72">
        <v>135.68</v>
      </c>
    </row>
    <row r="73" spans="1:12">
      <c r="A73" s="2">
        <v>46035</v>
      </c>
      <c r="B73" t="s">
        <v>44</v>
      </c>
      <c r="C73">
        <v>64059</v>
      </c>
      <c r="D73">
        <v>1592</v>
      </c>
      <c r="E73" t="s">
        <v>99</v>
      </c>
      <c r="F73" t="s">
        <v>65</v>
      </c>
      <c r="G73" t="s">
        <v>47</v>
      </c>
      <c r="H73" t="s">
        <v>54</v>
      </c>
      <c r="I73" t="s">
        <v>156</v>
      </c>
      <c r="K73">
        <v>0.12948000000000001</v>
      </c>
      <c r="L73">
        <v>129.48000000000002</v>
      </c>
    </row>
    <row r="74" spans="1:12">
      <c r="A74" s="2">
        <v>46035</v>
      </c>
      <c r="B74" t="s">
        <v>44</v>
      </c>
      <c r="C74">
        <v>64059</v>
      </c>
      <c r="D74">
        <v>1593</v>
      </c>
      <c r="E74" t="s">
        <v>142</v>
      </c>
      <c r="F74" t="s">
        <v>65</v>
      </c>
      <c r="G74" t="s">
        <v>47</v>
      </c>
      <c r="H74" t="s">
        <v>54</v>
      </c>
      <c r="I74" t="s">
        <v>157</v>
      </c>
      <c r="K74">
        <v>0.14219000000000001</v>
      </c>
      <c r="L74">
        <v>142.19</v>
      </c>
    </row>
    <row r="75" spans="1:12">
      <c r="A75" s="2">
        <v>46035</v>
      </c>
      <c r="B75" t="s">
        <v>158</v>
      </c>
      <c r="C75">
        <v>64059</v>
      </c>
      <c r="D75" s="19">
        <v>1594</v>
      </c>
      <c r="F75" t="s">
        <v>65</v>
      </c>
      <c r="G75" t="s">
        <v>47</v>
      </c>
      <c r="H75" t="s">
        <v>54</v>
      </c>
      <c r="K75">
        <v>0.37961</v>
      </c>
      <c r="L75">
        <v>379.61</v>
      </c>
    </row>
    <row r="76" spans="1:12">
      <c r="A76" s="2">
        <v>46035</v>
      </c>
      <c r="B76" t="s">
        <v>44</v>
      </c>
      <c r="C76">
        <v>64060</v>
      </c>
      <c r="D76">
        <v>1595</v>
      </c>
      <c r="E76" t="s">
        <v>159</v>
      </c>
      <c r="F76" t="s">
        <v>65</v>
      </c>
      <c r="G76" t="s">
        <v>47</v>
      </c>
      <c r="H76" t="s">
        <v>48</v>
      </c>
      <c r="I76" t="s">
        <v>160</v>
      </c>
      <c r="K76">
        <v>0.15901999999999999</v>
      </c>
      <c r="L76">
        <v>159.01999999999998</v>
      </c>
    </row>
    <row r="77" spans="1:12">
      <c r="A77" s="2">
        <v>46036</v>
      </c>
      <c r="B77" t="s">
        <v>44</v>
      </c>
      <c r="C77">
        <v>64057</v>
      </c>
      <c r="D77">
        <v>1596</v>
      </c>
      <c r="E77" t="s">
        <v>107</v>
      </c>
      <c r="F77" t="s">
        <v>65</v>
      </c>
      <c r="G77" t="s">
        <v>57</v>
      </c>
      <c r="H77" t="s">
        <v>48</v>
      </c>
      <c r="I77" t="s">
        <v>161</v>
      </c>
      <c r="K77">
        <v>0.14387</v>
      </c>
      <c r="L77">
        <v>143.87</v>
      </c>
    </row>
    <row r="78" spans="1:12">
      <c r="A78" s="2">
        <v>46036</v>
      </c>
      <c r="B78" t="s">
        <v>44</v>
      </c>
      <c r="C78">
        <v>64057</v>
      </c>
      <c r="D78">
        <v>1597</v>
      </c>
      <c r="E78" t="s">
        <v>116</v>
      </c>
      <c r="F78" t="s">
        <v>65</v>
      </c>
      <c r="G78" t="s">
        <v>57</v>
      </c>
      <c r="H78" t="s">
        <v>48</v>
      </c>
      <c r="I78" t="s">
        <v>162</v>
      </c>
      <c r="K78">
        <v>0.13285</v>
      </c>
      <c r="L78">
        <v>132.85</v>
      </c>
    </row>
    <row r="79" spans="1:12">
      <c r="A79" s="2">
        <v>46036</v>
      </c>
      <c r="B79" t="s">
        <v>44</v>
      </c>
      <c r="C79">
        <v>64058</v>
      </c>
      <c r="D79" s="19">
        <v>1598</v>
      </c>
      <c r="E79" t="s">
        <v>163</v>
      </c>
      <c r="F79" t="s">
        <v>65</v>
      </c>
      <c r="G79" t="s">
        <v>57</v>
      </c>
      <c r="H79" t="s">
        <v>54</v>
      </c>
      <c r="I79" t="s">
        <v>164</v>
      </c>
      <c r="K79">
        <v>0.25956000000000001</v>
      </c>
      <c r="L79">
        <v>259.56</v>
      </c>
    </row>
    <row r="80" spans="1:12">
      <c r="A80" s="2">
        <v>46036</v>
      </c>
      <c r="B80" t="s">
        <v>44</v>
      </c>
      <c r="C80">
        <v>64058</v>
      </c>
      <c r="D80">
        <v>1599</v>
      </c>
      <c r="E80" t="s">
        <v>165</v>
      </c>
      <c r="F80" t="s">
        <v>65</v>
      </c>
      <c r="G80" t="s">
        <v>57</v>
      </c>
      <c r="H80" t="s">
        <v>54</v>
      </c>
      <c r="I80" t="s">
        <v>166</v>
      </c>
      <c r="K80">
        <v>0.38945999999999997</v>
      </c>
      <c r="L80">
        <v>389.46</v>
      </c>
    </row>
    <row r="81" spans="1:12">
      <c r="A81" s="2">
        <v>46036</v>
      </c>
      <c r="B81" t="s">
        <v>44</v>
      </c>
      <c r="C81">
        <v>64058</v>
      </c>
      <c r="D81">
        <v>1600</v>
      </c>
      <c r="E81" t="s">
        <v>167</v>
      </c>
      <c r="F81" t="s">
        <v>65</v>
      </c>
      <c r="G81" t="s">
        <v>57</v>
      </c>
      <c r="H81" t="s">
        <v>54</v>
      </c>
      <c r="I81" t="s">
        <v>168</v>
      </c>
      <c r="K81">
        <v>0.41467999999999999</v>
      </c>
      <c r="L81">
        <v>414.68</v>
      </c>
    </row>
    <row r="82" spans="1:12">
      <c r="A82" s="2">
        <v>46037</v>
      </c>
      <c r="B82" t="s">
        <v>158</v>
      </c>
      <c r="C82">
        <v>64067</v>
      </c>
      <c r="D82">
        <v>1601</v>
      </c>
      <c r="F82" t="s">
        <v>46</v>
      </c>
      <c r="G82" t="s">
        <v>47</v>
      </c>
      <c r="H82" t="s">
        <v>54</v>
      </c>
      <c r="K82">
        <v>0.17138</v>
      </c>
      <c r="L82">
        <v>171.38</v>
      </c>
    </row>
    <row r="83" spans="1:12">
      <c r="A83" s="2">
        <v>46037</v>
      </c>
      <c r="B83" t="s">
        <v>69</v>
      </c>
      <c r="C83">
        <v>64067</v>
      </c>
      <c r="D83">
        <v>1602</v>
      </c>
      <c r="E83" t="s">
        <v>93</v>
      </c>
      <c r="F83" t="s">
        <v>46</v>
      </c>
      <c r="G83" t="s">
        <v>47</v>
      </c>
      <c r="H83" t="s">
        <v>54</v>
      </c>
      <c r="I83" t="s">
        <v>169</v>
      </c>
      <c r="K83">
        <v>0.10922999999999999</v>
      </c>
      <c r="L83">
        <v>109.22999999999999</v>
      </c>
    </row>
    <row r="84" spans="1:12">
      <c r="A84" s="2">
        <v>46037</v>
      </c>
      <c r="B84" t="s">
        <v>69</v>
      </c>
      <c r="C84">
        <v>64068</v>
      </c>
      <c r="D84">
        <v>1603</v>
      </c>
      <c r="E84" t="s">
        <v>170</v>
      </c>
      <c r="F84" t="s">
        <v>46</v>
      </c>
      <c r="G84" t="s">
        <v>47</v>
      </c>
      <c r="H84" t="s">
        <v>48</v>
      </c>
      <c r="I84" t="s">
        <v>171</v>
      </c>
      <c r="K84" s="73">
        <v>0.26941999999999999</v>
      </c>
      <c r="L84" s="73">
        <v>269.42</v>
      </c>
    </row>
    <row r="85" spans="1:12">
      <c r="A85" s="2">
        <v>46037</v>
      </c>
      <c r="B85" t="s">
        <v>69</v>
      </c>
      <c r="C85">
        <v>64068</v>
      </c>
      <c r="D85">
        <v>1604</v>
      </c>
      <c r="E85" t="s">
        <v>172</v>
      </c>
      <c r="F85" t="s">
        <v>46</v>
      </c>
      <c r="G85" t="s">
        <v>47</v>
      </c>
      <c r="H85" t="s">
        <v>48</v>
      </c>
      <c r="I85" t="s">
        <v>173</v>
      </c>
      <c r="K85">
        <v>0.13367999999999999</v>
      </c>
      <c r="L85">
        <v>133.68</v>
      </c>
    </row>
    <row r="86" spans="1:12">
      <c r="A86" s="2">
        <v>46038</v>
      </c>
      <c r="B86" t="s">
        <v>90</v>
      </c>
      <c r="C86">
        <v>64061</v>
      </c>
      <c r="D86">
        <v>1605</v>
      </c>
      <c r="E86" t="s">
        <v>174</v>
      </c>
      <c r="F86" t="s">
        <v>65</v>
      </c>
      <c r="G86" t="s">
        <v>57</v>
      </c>
      <c r="H86" t="s">
        <v>48</v>
      </c>
      <c r="I86" t="s">
        <v>175</v>
      </c>
      <c r="K86">
        <v>6.071E-2</v>
      </c>
      <c r="L86">
        <v>60.71</v>
      </c>
    </row>
    <row r="87" spans="1:12">
      <c r="A87" s="2">
        <v>46038</v>
      </c>
      <c r="B87" t="s">
        <v>44</v>
      </c>
      <c r="C87">
        <v>64061</v>
      </c>
      <c r="D87">
        <v>1606</v>
      </c>
      <c r="E87" t="s">
        <v>176</v>
      </c>
      <c r="F87" t="s">
        <v>65</v>
      </c>
      <c r="G87" t="s">
        <v>57</v>
      </c>
      <c r="H87" t="s">
        <v>48</v>
      </c>
      <c r="I87" t="s">
        <v>151</v>
      </c>
      <c r="K87">
        <v>0.29387999999999997</v>
      </c>
      <c r="L87">
        <v>293.88</v>
      </c>
    </row>
    <row r="88" spans="1:12">
      <c r="A88" s="2">
        <v>46038</v>
      </c>
      <c r="B88" t="s">
        <v>90</v>
      </c>
      <c r="C88">
        <v>64061</v>
      </c>
      <c r="D88">
        <v>1607</v>
      </c>
      <c r="E88" t="s">
        <v>177</v>
      </c>
      <c r="F88" t="s">
        <v>65</v>
      </c>
      <c r="G88" t="s">
        <v>57</v>
      </c>
      <c r="H88" t="s">
        <v>48</v>
      </c>
      <c r="K88">
        <v>0.10496</v>
      </c>
      <c r="L88">
        <v>104.96</v>
      </c>
    </row>
    <row r="89" spans="1:12">
      <c r="A89" s="2">
        <v>46038</v>
      </c>
      <c r="B89" t="s">
        <v>90</v>
      </c>
      <c r="C89">
        <v>64062</v>
      </c>
      <c r="D89">
        <v>1608</v>
      </c>
      <c r="E89" t="s">
        <v>178</v>
      </c>
      <c r="F89" t="s">
        <v>65</v>
      </c>
      <c r="G89" t="s">
        <v>57</v>
      </c>
      <c r="H89" t="s">
        <v>54</v>
      </c>
      <c r="K89">
        <v>0.18909000000000001</v>
      </c>
      <c r="L89">
        <v>189.09</v>
      </c>
    </row>
    <row r="90" spans="1:12">
      <c r="A90" s="2">
        <v>46038</v>
      </c>
      <c r="B90" t="s">
        <v>44</v>
      </c>
      <c r="C90">
        <v>64062</v>
      </c>
      <c r="D90">
        <v>1609</v>
      </c>
      <c r="E90" t="s">
        <v>142</v>
      </c>
      <c r="F90" t="s">
        <v>65</v>
      </c>
      <c r="G90" t="s">
        <v>57</v>
      </c>
      <c r="H90" t="s">
        <v>54</v>
      </c>
      <c r="K90">
        <v>0.22173999999999999</v>
      </c>
      <c r="L90">
        <v>221.73999999999998</v>
      </c>
    </row>
    <row r="91" spans="1:12">
      <c r="A91" s="2">
        <v>46038</v>
      </c>
      <c r="B91" t="s">
        <v>90</v>
      </c>
      <c r="C91">
        <v>64062</v>
      </c>
      <c r="D91" s="19">
        <v>1610</v>
      </c>
      <c r="E91" t="s">
        <v>179</v>
      </c>
      <c r="F91" t="s">
        <v>65</v>
      </c>
      <c r="G91" t="s">
        <v>57</v>
      </c>
      <c r="H91" t="s">
        <v>54</v>
      </c>
      <c r="K91">
        <v>0.10983999999999999</v>
      </c>
      <c r="L91">
        <v>109.83999999999999</v>
      </c>
    </row>
    <row r="92" spans="1:12">
      <c r="A92" s="2">
        <v>46038</v>
      </c>
      <c r="B92" t="s">
        <v>158</v>
      </c>
      <c r="C92">
        <v>64061</v>
      </c>
      <c r="D92" s="19">
        <v>1611</v>
      </c>
      <c r="F92" t="s">
        <v>65</v>
      </c>
      <c r="G92" t="s">
        <v>57</v>
      </c>
      <c r="H92" t="s">
        <v>48</v>
      </c>
      <c r="K92">
        <v>4.2770000000000002E-2</v>
      </c>
      <c r="L92">
        <v>42.77</v>
      </c>
    </row>
    <row r="93" spans="1:12">
      <c r="A93" s="2">
        <v>46038</v>
      </c>
      <c r="B93" t="s">
        <v>90</v>
      </c>
      <c r="C93">
        <v>64062</v>
      </c>
      <c r="D93" s="19">
        <v>1612</v>
      </c>
      <c r="E93" t="s">
        <v>181</v>
      </c>
      <c r="F93" t="s">
        <v>65</v>
      </c>
      <c r="G93" t="s">
        <v>57</v>
      </c>
      <c r="H93" t="s">
        <v>54</v>
      </c>
      <c r="K93">
        <v>0.17866000000000001</v>
      </c>
      <c r="L93">
        <v>178.66000000000003</v>
      </c>
    </row>
    <row r="94" spans="1:12">
      <c r="A94" s="2">
        <v>46038</v>
      </c>
      <c r="B94" t="s">
        <v>44</v>
      </c>
      <c r="C94">
        <v>64062</v>
      </c>
      <c r="D94" s="19">
        <v>1613</v>
      </c>
      <c r="F94" t="s">
        <v>65</v>
      </c>
      <c r="G94" t="s">
        <v>57</v>
      </c>
      <c r="H94" t="s">
        <v>54</v>
      </c>
      <c r="I94" t="s">
        <v>182</v>
      </c>
      <c r="K94">
        <v>0.27911999999999998</v>
      </c>
      <c r="L94">
        <v>279.12</v>
      </c>
    </row>
    <row r="95" spans="1:12">
      <c r="A95" s="2">
        <v>46042</v>
      </c>
      <c r="B95" t="s">
        <v>69</v>
      </c>
      <c r="C95">
        <v>64069</v>
      </c>
      <c r="D95" s="19">
        <v>1614</v>
      </c>
      <c r="E95" t="s">
        <v>140</v>
      </c>
      <c r="F95" t="s">
        <v>46</v>
      </c>
      <c r="G95" t="s">
        <v>57</v>
      </c>
      <c r="H95" t="s">
        <v>54</v>
      </c>
      <c r="I95" t="s">
        <v>183</v>
      </c>
      <c r="K95">
        <v>0.11398999999999999</v>
      </c>
      <c r="L95">
        <v>113.99</v>
      </c>
    </row>
    <row r="96" spans="1:12">
      <c r="A96" s="2">
        <v>46042</v>
      </c>
      <c r="B96" t="s">
        <v>90</v>
      </c>
      <c r="C96">
        <v>64069</v>
      </c>
      <c r="D96">
        <v>1615</v>
      </c>
      <c r="E96" t="s">
        <v>140</v>
      </c>
      <c r="F96" t="s">
        <v>46</v>
      </c>
      <c r="G96" t="s">
        <v>57</v>
      </c>
      <c r="H96" t="s">
        <v>54</v>
      </c>
      <c r="K96">
        <v>0.16589000000000001</v>
      </c>
      <c r="L96">
        <v>165.89000000000001</v>
      </c>
    </row>
    <row r="97" spans="1:12">
      <c r="A97" s="2">
        <v>46042</v>
      </c>
      <c r="B97" t="s">
        <v>90</v>
      </c>
      <c r="C97">
        <v>64069</v>
      </c>
      <c r="D97">
        <v>1616</v>
      </c>
      <c r="E97" t="s">
        <v>142</v>
      </c>
      <c r="F97" t="s">
        <v>46</v>
      </c>
      <c r="G97" t="s">
        <v>57</v>
      </c>
      <c r="H97" t="s">
        <v>54</v>
      </c>
      <c r="K97">
        <v>0.21362</v>
      </c>
      <c r="L97">
        <v>213.62</v>
      </c>
    </row>
    <row r="98" spans="1:12">
      <c r="A98" s="2">
        <v>46042</v>
      </c>
      <c r="B98" t="s">
        <v>69</v>
      </c>
      <c r="C98">
        <v>64069</v>
      </c>
      <c r="D98" s="19">
        <v>1617</v>
      </c>
      <c r="E98" t="s">
        <v>148</v>
      </c>
      <c r="F98" t="s">
        <v>46</v>
      </c>
      <c r="G98" t="s">
        <v>57</v>
      </c>
      <c r="H98" t="s">
        <v>54</v>
      </c>
      <c r="K98">
        <v>0.11767</v>
      </c>
      <c r="L98">
        <v>117.67</v>
      </c>
    </row>
    <row r="99" spans="1:12">
      <c r="A99" s="2">
        <v>46042</v>
      </c>
      <c r="B99" t="s">
        <v>90</v>
      </c>
      <c r="C99">
        <v>64070</v>
      </c>
      <c r="D99" s="19">
        <v>1618</v>
      </c>
      <c r="E99" t="s">
        <v>184</v>
      </c>
      <c r="F99" t="s">
        <v>46</v>
      </c>
      <c r="G99" t="s">
        <v>57</v>
      </c>
      <c r="H99" t="s">
        <v>54</v>
      </c>
      <c r="I99" t="s">
        <v>185</v>
      </c>
      <c r="K99">
        <v>0.24901000000000001</v>
      </c>
      <c r="L99">
        <v>249.01000000000002</v>
      </c>
    </row>
    <row r="100" spans="1:12">
      <c r="A100" s="2">
        <v>46042</v>
      </c>
      <c r="B100" t="s">
        <v>90</v>
      </c>
      <c r="C100">
        <v>64070</v>
      </c>
      <c r="D100">
        <v>1619</v>
      </c>
      <c r="E100" t="s">
        <v>186</v>
      </c>
      <c r="F100" t="s">
        <v>46</v>
      </c>
      <c r="G100" t="s">
        <v>57</v>
      </c>
      <c r="H100" t="s">
        <v>48</v>
      </c>
      <c r="I100" t="s">
        <v>187</v>
      </c>
      <c r="K100">
        <v>8.4970000000000004E-2</v>
      </c>
      <c r="L100">
        <v>84.97</v>
      </c>
    </row>
    <row r="101" spans="1:12">
      <c r="A101" s="2">
        <v>46043</v>
      </c>
      <c r="B101" t="s">
        <v>90</v>
      </c>
      <c r="C101">
        <v>64290</v>
      </c>
      <c r="D101">
        <v>1620</v>
      </c>
      <c r="E101" t="s">
        <v>188</v>
      </c>
      <c r="F101" t="s">
        <v>46</v>
      </c>
      <c r="G101" t="s">
        <v>47</v>
      </c>
      <c r="H101" t="s">
        <v>48</v>
      </c>
      <c r="K101">
        <v>8.5290000000000005E-2</v>
      </c>
      <c r="L101">
        <v>85.29</v>
      </c>
    </row>
    <row r="102" spans="1:12">
      <c r="A102" s="2">
        <v>46043</v>
      </c>
      <c r="B102" t="s">
        <v>44</v>
      </c>
      <c r="C102">
        <v>64290</v>
      </c>
      <c r="D102">
        <v>1621</v>
      </c>
      <c r="E102" t="s">
        <v>189</v>
      </c>
      <c r="F102" t="s">
        <v>46</v>
      </c>
      <c r="G102" t="s">
        <v>47</v>
      </c>
      <c r="H102" t="s">
        <v>48</v>
      </c>
      <c r="I102" t="s">
        <v>190</v>
      </c>
      <c r="K102">
        <v>6.6689999999999999E-2</v>
      </c>
      <c r="L102">
        <v>66.69</v>
      </c>
    </row>
    <row r="103" spans="1:12">
      <c r="A103" s="2">
        <v>46043</v>
      </c>
      <c r="B103" t="s">
        <v>90</v>
      </c>
      <c r="C103">
        <v>64290</v>
      </c>
      <c r="D103" s="19">
        <v>1622</v>
      </c>
      <c r="E103" t="s">
        <v>191</v>
      </c>
      <c r="F103" t="s">
        <v>46</v>
      </c>
      <c r="G103" t="s">
        <v>47</v>
      </c>
      <c r="H103" t="s">
        <v>48</v>
      </c>
      <c r="K103">
        <v>6.4509999999999998E-2</v>
      </c>
      <c r="L103">
        <v>64.509999999999991</v>
      </c>
    </row>
    <row r="104" spans="1:12">
      <c r="A104" s="2">
        <v>46043</v>
      </c>
      <c r="B104" t="s">
        <v>44</v>
      </c>
      <c r="C104">
        <v>64290</v>
      </c>
      <c r="D104">
        <v>1623</v>
      </c>
      <c r="E104" t="s">
        <v>107</v>
      </c>
      <c r="F104" t="s">
        <v>46</v>
      </c>
      <c r="G104" t="s">
        <v>47</v>
      </c>
      <c r="H104" t="s">
        <v>48</v>
      </c>
      <c r="I104" t="s">
        <v>192</v>
      </c>
      <c r="K104">
        <v>0.12767000000000001</v>
      </c>
      <c r="L104">
        <v>127.67</v>
      </c>
    </row>
    <row r="105" spans="1:12">
      <c r="A105" s="2">
        <v>46043</v>
      </c>
      <c r="B105" t="s">
        <v>44</v>
      </c>
      <c r="C105">
        <v>64290</v>
      </c>
      <c r="D105">
        <v>1624</v>
      </c>
      <c r="E105" t="s">
        <v>116</v>
      </c>
      <c r="F105" t="s">
        <v>46</v>
      </c>
      <c r="G105" t="s">
        <v>47</v>
      </c>
      <c r="H105" t="s">
        <v>48</v>
      </c>
      <c r="I105" t="s">
        <v>193</v>
      </c>
      <c r="K105">
        <v>0.11401</v>
      </c>
      <c r="L105">
        <v>114.01</v>
      </c>
    </row>
    <row r="106" spans="1:12">
      <c r="A106" s="2">
        <v>46043</v>
      </c>
      <c r="B106" t="s">
        <v>90</v>
      </c>
      <c r="C106">
        <v>64291</v>
      </c>
      <c r="D106" s="19">
        <v>1625</v>
      </c>
      <c r="E106" t="s">
        <v>194</v>
      </c>
      <c r="F106" t="s">
        <v>46</v>
      </c>
      <c r="G106" t="s">
        <v>47</v>
      </c>
      <c r="H106" t="s">
        <v>54</v>
      </c>
      <c r="K106" s="73">
        <v>7.7229999999999993E-2</v>
      </c>
      <c r="L106" s="73">
        <v>77.22999999999999</v>
      </c>
    </row>
    <row r="107" spans="1:12">
      <c r="A107" s="2">
        <v>46043</v>
      </c>
      <c r="B107" t="s">
        <v>44</v>
      </c>
      <c r="C107">
        <v>64291</v>
      </c>
      <c r="D107">
        <v>1626</v>
      </c>
      <c r="E107" t="s">
        <v>117</v>
      </c>
      <c r="F107" t="s">
        <v>46</v>
      </c>
      <c r="G107" t="s">
        <v>47</v>
      </c>
      <c r="H107" t="s">
        <v>54</v>
      </c>
      <c r="I107" t="s">
        <v>195</v>
      </c>
      <c r="K107">
        <v>0.14111000000000001</v>
      </c>
      <c r="L107">
        <v>141.11000000000001</v>
      </c>
    </row>
    <row r="108" spans="1:12">
      <c r="A108" s="2">
        <v>46043</v>
      </c>
      <c r="B108" t="s">
        <v>90</v>
      </c>
      <c r="C108">
        <v>64291</v>
      </c>
      <c r="D108">
        <v>1627</v>
      </c>
      <c r="E108" t="s">
        <v>196</v>
      </c>
      <c r="F108" t="s">
        <v>46</v>
      </c>
      <c r="G108" t="s">
        <v>47</v>
      </c>
      <c r="H108" t="s">
        <v>54</v>
      </c>
      <c r="K108">
        <v>0.29804000000000003</v>
      </c>
      <c r="L108">
        <v>298.04000000000002</v>
      </c>
    </row>
    <row r="109" spans="1:12">
      <c r="A109" s="2">
        <v>46044</v>
      </c>
      <c r="B109" t="s">
        <v>44</v>
      </c>
      <c r="C109">
        <v>64282</v>
      </c>
      <c r="D109">
        <v>1628</v>
      </c>
      <c r="E109" t="s">
        <v>197</v>
      </c>
      <c r="F109" t="s">
        <v>65</v>
      </c>
      <c r="G109" t="s">
        <v>57</v>
      </c>
      <c r="H109" t="s">
        <v>54</v>
      </c>
      <c r="I109" t="s">
        <v>198</v>
      </c>
      <c r="K109">
        <v>0.14291000000000001</v>
      </c>
      <c r="L109">
        <v>142.91</v>
      </c>
    </row>
    <row r="110" spans="1:12">
      <c r="A110" s="2">
        <v>46044</v>
      </c>
      <c r="B110" t="s">
        <v>90</v>
      </c>
      <c r="C110">
        <v>64282</v>
      </c>
      <c r="D110" s="19">
        <v>1629</v>
      </c>
      <c r="E110" t="s">
        <v>199</v>
      </c>
      <c r="F110" t="s">
        <v>65</v>
      </c>
      <c r="G110" t="s">
        <v>57</v>
      </c>
      <c r="H110" t="s">
        <v>54</v>
      </c>
      <c r="K110">
        <v>0.33056000000000002</v>
      </c>
      <c r="L110">
        <v>330.56</v>
      </c>
    </row>
    <row r="111" spans="1:12">
      <c r="A111" s="2">
        <v>46044</v>
      </c>
      <c r="B111" t="s">
        <v>90</v>
      </c>
      <c r="C111">
        <v>64283</v>
      </c>
      <c r="D111">
        <v>1630</v>
      </c>
      <c r="E111" t="s">
        <v>201</v>
      </c>
      <c r="F111" t="s">
        <v>65</v>
      </c>
      <c r="G111" t="s">
        <v>57</v>
      </c>
      <c r="H111" t="s">
        <v>48</v>
      </c>
      <c r="I111" t="s">
        <v>202</v>
      </c>
      <c r="K111">
        <v>7.3709999999999998E-2</v>
      </c>
      <c r="L111">
        <v>73.709999999999994</v>
      </c>
    </row>
    <row r="112" spans="1:12">
      <c r="A112" s="2">
        <v>46044</v>
      </c>
      <c r="B112" t="s">
        <v>158</v>
      </c>
      <c r="C112">
        <v>64283</v>
      </c>
      <c r="D112">
        <v>1631</v>
      </c>
      <c r="E112" t="s">
        <v>203</v>
      </c>
      <c r="F112" t="s">
        <v>65</v>
      </c>
      <c r="G112" t="s">
        <v>57</v>
      </c>
      <c r="H112" t="s">
        <v>48</v>
      </c>
      <c r="I112" t="s">
        <v>204</v>
      </c>
      <c r="K112">
        <v>0.21029999999999999</v>
      </c>
      <c r="L112">
        <v>210.29999999999998</v>
      </c>
    </row>
    <row r="113" spans="1:12">
      <c r="A113" s="2">
        <v>46044</v>
      </c>
      <c r="B113" t="s">
        <v>90</v>
      </c>
      <c r="C113">
        <v>64283</v>
      </c>
      <c r="D113">
        <v>1632</v>
      </c>
      <c r="E113" t="s">
        <v>205</v>
      </c>
      <c r="F113" t="s">
        <v>65</v>
      </c>
      <c r="G113" t="s">
        <v>57</v>
      </c>
      <c r="H113" t="s">
        <v>48</v>
      </c>
      <c r="I113" t="s">
        <v>206</v>
      </c>
      <c r="K113">
        <v>0.1467</v>
      </c>
      <c r="L113">
        <v>146.69999999999999</v>
      </c>
    </row>
    <row r="114" spans="1:12">
      <c r="A114" s="2">
        <v>46045</v>
      </c>
      <c r="B114" t="s">
        <v>69</v>
      </c>
      <c r="C114">
        <v>64292</v>
      </c>
      <c r="D114" s="19">
        <v>1633</v>
      </c>
      <c r="E114" t="s">
        <v>207</v>
      </c>
      <c r="F114" t="s">
        <v>46</v>
      </c>
      <c r="G114" t="s">
        <v>57</v>
      </c>
      <c r="H114" t="s">
        <v>54</v>
      </c>
      <c r="I114" t="s">
        <v>208</v>
      </c>
      <c r="K114">
        <v>0.14413000000000001</v>
      </c>
      <c r="L114">
        <v>144.13</v>
      </c>
    </row>
    <row r="115" spans="1:12">
      <c r="A115" s="2">
        <v>46045</v>
      </c>
      <c r="B115" t="s">
        <v>90</v>
      </c>
      <c r="C115">
        <v>64293</v>
      </c>
      <c r="D115">
        <v>1634</v>
      </c>
      <c r="E115" t="s">
        <v>210</v>
      </c>
      <c r="F115" t="s">
        <v>46</v>
      </c>
      <c r="G115" t="s">
        <v>57</v>
      </c>
      <c r="H115" t="s">
        <v>48</v>
      </c>
      <c r="K115">
        <v>0.20330000000000001</v>
      </c>
      <c r="L115">
        <v>203.3</v>
      </c>
    </row>
    <row r="116" spans="1:12">
      <c r="A116" s="2">
        <v>46045</v>
      </c>
      <c r="B116" t="s">
        <v>90</v>
      </c>
      <c r="C116">
        <v>64293</v>
      </c>
      <c r="D116">
        <v>1635</v>
      </c>
      <c r="E116" t="s">
        <v>211</v>
      </c>
      <c r="F116" t="s">
        <v>46</v>
      </c>
      <c r="G116" t="s">
        <v>57</v>
      </c>
      <c r="H116" t="s">
        <v>48</v>
      </c>
      <c r="I116" t="s">
        <v>212</v>
      </c>
      <c r="K116">
        <v>0.32358999999999999</v>
      </c>
      <c r="L116">
        <v>323.58999999999997</v>
      </c>
    </row>
    <row r="117" spans="1:12">
      <c r="A117" s="85">
        <v>46049</v>
      </c>
      <c r="B117" s="72" t="s">
        <v>90</v>
      </c>
      <c r="C117" s="72">
        <v>64284</v>
      </c>
      <c r="D117">
        <v>1636</v>
      </c>
      <c r="E117" s="72" t="s">
        <v>140</v>
      </c>
      <c r="F117" t="s">
        <v>65</v>
      </c>
      <c r="G117" t="s">
        <v>57</v>
      </c>
      <c r="H117" t="s">
        <v>54</v>
      </c>
      <c r="I117" s="72"/>
      <c r="J117" s="72"/>
      <c r="K117" s="72">
        <v>0.18726000000000001</v>
      </c>
      <c r="L117" s="72">
        <v>187.26000000000002</v>
      </c>
    </row>
    <row r="118" spans="1:12">
      <c r="A118" s="85">
        <v>46049</v>
      </c>
      <c r="B118" s="72" t="s">
        <v>90</v>
      </c>
      <c r="C118" s="72">
        <v>64284</v>
      </c>
      <c r="D118">
        <v>1637</v>
      </c>
      <c r="E118" s="72" t="s">
        <v>142</v>
      </c>
      <c r="F118" t="s">
        <v>65</v>
      </c>
      <c r="G118" t="s">
        <v>57</v>
      </c>
      <c r="H118" t="s">
        <v>54</v>
      </c>
      <c r="I118" s="72" t="s">
        <v>213</v>
      </c>
      <c r="J118" s="72"/>
      <c r="K118" s="72">
        <v>0.20433000000000001</v>
      </c>
      <c r="L118" s="72">
        <v>204.33</v>
      </c>
    </row>
    <row r="119" spans="1:12">
      <c r="A119" s="85">
        <v>46049</v>
      </c>
      <c r="B119" s="72" t="s">
        <v>90</v>
      </c>
      <c r="C119" s="72">
        <v>64284</v>
      </c>
      <c r="D119">
        <v>1638</v>
      </c>
      <c r="E119" s="72" t="s">
        <v>214</v>
      </c>
      <c r="F119" t="s">
        <v>65</v>
      </c>
      <c r="G119" t="s">
        <v>57</v>
      </c>
      <c r="H119" t="s">
        <v>54</v>
      </c>
      <c r="I119" s="72" t="s">
        <v>215</v>
      </c>
      <c r="J119" s="72"/>
      <c r="K119" s="72">
        <v>0.17810000000000001</v>
      </c>
      <c r="L119" s="72">
        <v>178.1</v>
      </c>
    </row>
    <row r="120" spans="1:12">
      <c r="A120" s="85">
        <v>46049</v>
      </c>
      <c r="B120" s="72" t="s">
        <v>44</v>
      </c>
      <c r="C120" s="72">
        <v>64284</v>
      </c>
      <c r="D120">
        <v>1639</v>
      </c>
      <c r="E120" s="72" t="s">
        <v>216</v>
      </c>
      <c r="F120" t="s">
        <v>65</v>
      </c>
      <c r="G120" t="s">
        <v>57</v>
      </c>
      <c r="H120" t="s">
        <v>54</v>
      </c>
      <c r="I120" s="72" t="s">
        <v>217</v>
      </c>
      <c r="J120" s="72"/>
      <c r="K120" s="72">
        <v>0.15179999999999999</v>
      </c>
      <c r="L120" s="72">
        <v>151.79999999999998</v>
      </c>
    </row>
    <row r="121" spans="1:12">
      <c r="A121" s="85">
        <v>46049</v>
      </c>
      <c r="B121" s="72" t="s">
        <v>90</v>
      </c>
      <c r="C121" s="72">
        <v>64285</v>
      </c>
      <c r="D121">
        <v>1640</v>
      </c>
      <c r="E121" s="72" t="s">
        <v>218</v>
      </c>
      <c r="F121" t="s">
        <v>65</v>
      </c>
      <c r="G121" t="s">
        <v>57</v>
      </c>
      <c r="H121" t="s">
        <v>48</v>
      </c>
      <c r="I121" s="72" t="s">
        <v>219</v>
      </c>
      <c r="J121" s="72"/>
      <c r="K121" s="72">
        <v>0.20821999999999999</v>
      </c>
      <c r="L121" s="72">
        <v>208.22</v>
      </c>
    </row>
    <row r="122" spans="1:12">
      <c r="A122" s="85">
        <v>46049</v>
      </c>
      <c r="B122" s="72" t="s">
        <v>44</v>
      </c>
      <c r="C122" s="72">
        <v>64284</v>
      </c>
      <c r="D122">
        <v>1641</v>
      </c>
      <c r="E122" s="72" t="s">
        <v>95</v>
      </c>
      <c r="F122" t="s">
        <v>65</v>
      </c>
      <c r="G122" t="s">
        <v>57</v>
      </c>
      <c r="H122" t="s">
        <v>54</v>
      </c>
      <c r="I122" s="72"/>
      <c r="J122" s="72"/>
      <c r="K122" s="72">
        <v>0.17265</v>
      </c>
      <c r="L122" s="72">
        <v>172.65</v>
      </c>
    </row>
    <row r="123" spans="1:12">
      <c r="A123" s="85">
        <v>46049</v>
      </c>
      <c r="B123" s="72" t="s">
        <v>90</v>
      </c>
      <c r="C123" s="72">
        <v>64285</v>
      </c>
      <c r="D123" s="19">
        <v>1642</v>
      </c>
      <c r="E123" s="72" t="s">
        <v>220</v>
      </c>
      <c r="F123" t="s">
        <v>65</v>
      </c>
      <c r="G123" t="s">
        <v>57</v>
      </c>
      <c r="H123" t="s">
        <v>48</v>
      </c>
      <c r="I123" s="72"/>
      <c r="J123" s="72"/>
      <c r="K123" s="72">
        <v>0.13494</v>
      </c>
      <c r="L123" s="72">
        <v>134.94</v>
      </c>
    </row>
    <row r="124" spans="1:12">
      <c r="A124" s="85">
        <v>46049</v>
      </c>
      <c r="B124" s="72" t="s">
        <v>44</v>
      </c>
      <c r="C124" s="72">
        <v>64285</v>
      </c>
      <c r="D124" s="19">
        <v>1643</v>
      </c>
      <c r="E124" s="72" t="s">
        <v>144</v>
      </c>
      <c r="F124" t="s">
        <v>65</v>
      </c>
      <c r="G124" t="s">
        <v>57</v>
      </c>
      <c r="H124" t="s">
        <v>48</v>
      </c>
      <c r="I124" s="72"/>
      <c r="J124" s="72"/>
      <c r="K124" s="72">
        <v>0.12662999999999999</v>
      </c>
      <c r="L124" s="72">
        <v>126.63</v>
      </c>
    </row>
    <row r="125" spans="1:12">
      <c r="A125" s="85">
        <v>46049</v>
      </c>
      <c r="B125" s="72" t="s">
        <v>44</v>
      </c>
      <c r="C125" s="72">
        <v>64285</v>
      </c>
      <c r="D125" s="19">
        <v>1644</v>
      </c>
      <c r="E125" s="72" t="s">
        <v>221</v>
      </c>
      <c r="F125" t="s">
        <v>65</v>
      </c>
      <c r="G125" t="s">
        <v>57</v>
      </c>
      <c r="H125" t="s">
        <v>48</v>
      </c>
      <c r="I125" s="72" t="s">
        <v>222</v>
      </c>
      <c r="J125" s="72"/>
      <c r="K125" s="72">
        <v>9.3700000000000006E-2</v>
      </c>
      <c r="L125" s="72">
        <v>93.7</v>
      </c>
    </row>
    <row r="126" spans="1:12">
      <c r="A126" s="85">
        <v>46050</v>
      </c>
      <c r="B126" s="72" t="s">
        <v>44</v>
      </c>
      <c r="C126" s="72">
        <v>64286</v>
      </c>
      <c r="D126">
        <v>1645</v>
      </c>
      <c r="E126" s="72" t="s">
        <v>223</v>
      </c>
      <c r="F126" t="s">
        <v>65</v>
      </c>
      <c r="G126" t="s">
        <v>47</v>
      </c>
      <c r="H126" t="s">
        <v>48</v>
      </c>
      <c r="I126" s="72" t="s">
        <v>224</v>
      </c>
      <c r="J126" s="72"/>
      <c r="K126" s="72">
        <v>0.15218999999999999</v>
      </c>
      <c r="L126" s="72">
        <v>152.19</v>
      </c>
    </row>
    <row r="127" spans="1:12">
      <c r="A127" s="85">
        <v>46050</v>
      </c>
      <c r="B127" s="72" t="s">
        <v>90</v>
      </c>
      <c r="C127" s="72">
        <v>64286</v>
      </c>
      <c r="D127" s="19">
        <v>1646</v>
      </c>
      <c r="E127" s="72" t="s">
        <v>140</v>
      </c>
      <c r="F127" t="s">
        <v>65</v>
      </c>
      <c r="G127" t="s">
        <v>47</v>
      </c>
      <c r="H127" t="s">
        <v>48</v>
      </c>
      <c r="I127" s="72"/>
      <c r="J127" s="72"/>
      <c r="K127" s="72">
        <v>0.14685999999999999</v>
      </c>
      <c r="L127" s="72">
        <v>146.85999999999999</v>
      </c>
    </row>
    <row r="128" spans="1:12">
      <c r="A128" s="85">
        <v>46050</v>
      </c>
      <c r="B128" s="72" t="s">
        <v>44</v>
      </c>
      <c r="C128" s="72">
        <v>64286</v>
      </c>
      <c r="D128">
        <v>1647</v>
      </c>
      <c r="E128" s="72" t="s">
        <v>107</v>
      </c>
      <c r="F128" t="s">
        <v>65</v>
      </c>
      <c r="G128" t="s">
        <v>47</v>
      </c>
      <c r="H128" t="s">
        <v>48</v>
      </c>
      <c r="I128" s="72" t="s">
        <v>225</v>
      </c>
      <c r="J128" s="72"/>
      <c r="K128" s="86">
        <v>0.14449999999999999</v>
      </c>
      <c r="L128" s="86">
        <v>144.5</v>
      </c>
    </row>
    <row r="129" spans="1:12">
      <c r="A129" s="85">
        <v>46050</v>
      </c>
      <c r="B129" s="72" t="s">
        <v>44</v>
      </c>
      <c r="C129" s="72">
        <v>64286</v>
      </c>
      <c r="D129">
        <v>1648</v>
      </c>
      <c r="E129" s="72" t="s">
        <v>116</v>
      </c>
      <c r="F129" t="s">
        <v>65</v>
      </c>
      <c r="G129" t="s">
        <v>47</v>
      </c>
      <c r="H129" t="s">
        <v>48</v>
      </c>
      <c r="I129" s="72" t="s">
        <v>226</v>
      </c>
      <c r="J129" s="72"/>
      <c r="K129" s="72">
        <v>8.8279999999999997E-2</v>
      </c>
      <c r="L129" s="72">
        <v>88.28</v>
      </c>
    </row>
    <row r="130" spans="1:12">
      <c r="A130" s="85">
        <v>46050</v>
      </c>
      <c r="B130" s="72" t="s">
        <v>90</v>
      </c>
      <c r="C130" s="72">
        <v>64286</v>
      </c>
      <c r="D130">
        <v>1649</v>
      </c>
      <c r="E130" s="72" t="s">
        <v>124</v>
      </c>
      <c r="F130" t="s">
        <v>65</v>
      </c>
      <c r="G130" t="s">
        <v>47</v>
      </c>
      <c r="H130" t="s">
        <v>48</v>
      </c>
      <c r="I130" s="72" t="s">
        <v>227</v>
      </c>
      <c r="J130" s="72"/>
      <c r="K130" s="72">
        <v>0.20230999999999999</v>
      </c>
      <c r="L130" s="72">
        <v>202.31</v>
      </c>
    </row>
    <row r="131" spans="1:12">
      <c r="A131" s="85">
        <v>46050</v>
      </c>
      <c r="B131" s="72" t="s">
        <v>90</v>
      </c>
      <c r="C131" s="72">
        <v>64287</v>
      </c>
      <c r="D131">
        <v>1650</v>
      </c>
      <c r="E131" s="72" t="s">
        <v>126</v>
      </c>
      <c r="F131" t="s">
        <v>65</v>
      </c>
      <c r="G131" t="s">
        <v>47</v>
      </c>
      <c r="H131" t="s">
        <v>54</v>
      </c>
      <c r="I131" s="72"/>
      <c r="J131" s="72"/>
      <c r="K131" s="72">
        <v>0.13295999999999999</v>
      </c>
      <c r="L131" s="72">
        <v>132.96</v>
      </c>
    </row>
    <row r="132" spans="1:12">
      <c r="A132" s="85">
        <v>46050</v>
      </c>
      <c r="B132" s="72" t="s">
        <v>90</v>
      </c>
      <c r="C132" s="72">
        <v>64287</v>
      </c>
      <c r="D132">
        <v>1651</v>
      </c>
      <c r="E132" s="72" t="s">
        <v>145</v>
      </c>
      <c r="F132" t="s">
        <v>65</v>
      </c>
      <c r="G132" t="s">
        <v>47</v>
      </c>
      <c r="H132" t="s">
        <v>54</v>
      </c>
      <c r="I132" s="72" t="s">
        <v>228</v>
      </c>
      <c r="J132" s="72"/>
      <c r="K132" s="72">
        <v>0.13944999999999999</v>
      </c>
      <c r="L132" s="72">
        <v>139.44999999999999</v>
      </c>
    </row>
    <row r="133" spans="1:12">
      <c r="A133" s="85">
        <v>46051</v>
      </c>
      <c r="B133" s="72" t="s">
        <v>90</v>
      </c>
      <c r="C133" s="72">
        <v>64278</v>
      </c>
      <c r="D133">
        <v>1652</v>
      </c>
      <c r="E133" s="72" t="s">
        <v>140</v>
      </c>
      <c r="F133" t="s">
        <v>46</v>
      </c>
      <c r="G133" t="s">
        <v>57</v>
      </c>
      <c r="H133" t="s">
        <v>54</v>
      </c>
      <c r="I133" s="72"/>
      <c r="J133" s="72"/>
      <c r="K133" s="72">
        <v>0.18909000000000001</v>
      </c>
      <c r="L133" s="72">
        <v>189.09</v>
      </c>
    </row>
    <row r="134" spans="1:12">
      <c r="A134" s="85">
        <v>46051</v>
      </c>
      <c r="B134" s="72" t="s">
        <v>90</v>
      </c>
      <c r="C134" s="72">
        <v>64278</v>
      </c>
      <c r="D134">
        <v>1653</v>
      </c>
      <c r="E134" s="72" t="s">
        <v>142</v>
      </c>
      <c r="F134" t="s">
        <v>46</v>
      </c>
      <c r="G134" t="s">
        <v>57</v>
      </c>
      <c r="H134" t="s">
        <v>54</v>
      </c>
      <c r="I134" s="72" t="s">
        <v>229</v>
      </c>
      <c r="J134" s="72"/>
      <c r="K134" s="72">
        <v>0.14692</v>
      </c>
      <c r="L134" s="72">
        <v>146.91999999999999</v>
      </c>
    </row>
    <row r="135" spans="1:12">
      <c r="A135" s="85">
        <v>46051</v>
      </c>
      <c r="B135" s="72" t="s">
        <v>90</v>
      </c>
      <c r="C135" s="72">
        <v>64278</v>
      </c>
      <c r="D135" s="19">
        <v>1654</v>
      </c>
      <c r="E135" s="72" t="s">
        <v>184</v>
      </c>
      <c r="F135" t="s">
        <v>46</v>
      </c>
      <c r="G135" t="s">
        <v>57</v>
      </c>
      <c r="H135" t="s">
        <v>54</v>
      </c>
      <c r="I135" s="72"/>
      <c r="J135" s="72"/>
      <c r="K135" s="72">
        <v>0.10839</v>
      </c>
      <c r="L135" s="72">
        <v>108.39</v>
      </c>
    </row>
    <row r="136" spans="1:12">
      <c r="A136" s="85">
        <v>46051</v>
      </c>
      <c r="B136" s="72" t="s">
        <v>158</v>
      </c>
      <c r="C136" s="72">
        <v>64278</v>
      </c>
      <c r="D136">
        <v>1655</v>
      </c>
      <c r="E136" s="72" t="s">
        <v>230</v>
      </c>
      <c r="F136" t="s">
        <v>46</v>
      </c>
      <c r="G136" t="s">
        <v>57</v>
      </c>
      <c r="H136" t="s">
        <v>54</v>
      </c>
      <c r="I136" s="72"/>
      <c r="J136" s="72"/>
      <c r="K136" s="72">
        <v>0.23821999999999999</v>
      </c>
      <c r="L136" s="72">
        <v>238.22</v>
      </c>
    </row>
    <row r="137" spans="1:12">
      <c r="A137" s="85">
        <v>46051</v>
      </c>
      <c r="B137" s="72" t="s">
        <v>90</v>
      </c>
      <c r="C137" s="72">
        <v>64279</v>
      </c>
      <c r="D137">
        <v>1656</v>
      </c>
      <c r="E137" s="72" t="s">
        <v>231</v>
      </c>
      <c r="F137" t="s">
        <v>46</v>
      </c>
      <c r="G137" t="s">
        <v>57</v>
      </c>
      <c r="H137" t="s">
        <v>48</v>
      </c>
      <c r="I137" s="72" t="s">
        <v>232</v>
      </c>
      <c r="J137" s="72"/>
      <c r="K137" s="72">
        <v>0.17263999999999999</v>
      </c>
      <c r="L137" s="72">
        <v>172.64</v>
      </c>
    </row>
    <row r="138" spans="1:12">
      <c r="A138" s="85">
        <v>46051</v>
      </c>
      <c r="B138" s="72" t="s">
        <v>90</v>
      </c>
      <c r="C138" s="72">
        <v>64279</v>
      </c>
      <c r="D138">
        <v>1657</v>
      </c>
      <c r="E138" s="72" t="s">
        <v>233</v>
      </c>
      <c r="F138" t="s">
        <v>46</v>
      </c>
      <c r="G138" t="s">
        <v>57</v>
      </c>
      <c r="H138" t="s">
        <v>48</v>
      </c>
      <c r="I138" s="72" t="s">
        <v>234</v>
      </c>
      <c r="J138" s="72"/>
      <c r="K138" s="72">
        <v>0.12873999999999999</v>
      </c>
      <c r="L138" s="72">
        <v>128.73999999999998</v>
      </c>
    </row>
    <row r="139" spans="1:12">
      <c r="A139" s="85">
        <v>46051</v>
      </c>
      <c r="B139" s="72" t="s">
        <v>158</v>
      </c>
      <c r="C139" s="72">
        <v>64279</v>
      </c>
      <c r="D139" s="19">
        <v>1658</v>
      </c>
      <c r="E139" s="72" t="s">
        <v>145</v>
      </c>
      <c r="F139" t="s">
        <v>46</v>
      </c>
      <c r="G139" t="s">
        <v>57</v>
      </c>
      <c r="H139" t="s">
        <v>48</v>
      </c>
      <c r="I139" s="72" t="s">
        <v>235</v>
      </c>
      <c r="J139" s="72"/>
      <c r="K139" s="72">
        <v>0.22031000000000001</v>
      </c>
      <c r="L139" s="72">
        <v>220.31</v>
      </c>
    </row>
    <row r="140" spans="1:12">
      <c r="A140" s="85">
        <v>46051</v>
      </c>
      <c r="B140" s="72" t="s">
        <v>90</v>
      </c>
      <c r="C140" s="72">
        <v>64279</v>
      </c>
      <c r="D140">
        <v>1659</v>
      </c>
      <c r="E140" s="72" t="s">
        <v>236</v>
      </c>
      <c r="F140" t="s">
        <v>46</v>
      </c>
      <c r="G140" t="s">
        <v>57</v>
      </c>
      <c r="H140" t="s">
        <v>48</v>
      </c>
      <c r="I140" s="72"/>
      <c r="J140" s="72"/>
      <c r="K140" s="72">
        <v>0.11928999999999999</v>
      </c>
      <c r="L140" s="72">
        <v>119.28999999999999</v>
      </c>
    </row>
    <row r="141" spans="1:12">
      <c r="A141" s="85">
        <v>46052</v>
      </c>
      <c r="B141" s="72" t="s">
        <v>90</v>
      </c>
      <c r="C141" s="72">
        <v>64288</v>
      </c>
      <c r="D141" s="19">
        <v>1660</v>
      </c>
      <c r="E141" s="72" t="s">
        <v>91</v>
      </c>
      <c r="F141" t="s">
        <v>65</v>
      </c>
      <c r="G141" t="s">
        <v>47</v>
      </c>
      <c r="H141" t="s">
        <v>48</v>
      </c>
      <c r="I141" s="72"/>
      <c r="J141" s="72"/>
      <c r="K141" s="72">
        <v>8.4059999999999996E-2</v>
      </c>
      <c r="L141" s="72">
        <v>84.06</v>
      </c>
    </row>
    <row r="142" spans="1:12">
      <c r="A142" s="85">
        <v>46052</v>
      </c>
      <c r="B142" s="72" t="s">
        <v>90</v>
      </c>
      <c r="C142" s="72">
        <v>64288</v>
      </c>
      <c r="D142" s="19">
        <v>1661</v>
      </c>
      <c r="E142" s="72" t="s">
        <v>237</v>
      </c>
      <c r="F142" t="s">
        <v>65</v>
      </c>
      <c r="G142" t="s">
        <v>47</v>
      </c>
      <c r="H142" t="s">
        <v>48</v>
      </c>
      <c r="I142" s="72"/>
      <c r="J142" s="72"/>
      <c r="K142" s="72">
        <v>8.0769999999999995E-2</v>
      </c>
      <c r="L142" s="72">
        <v>80.77</v>
      </c>
    </row>
    <row r="143" spans="1:12">
      <c r="A143" s="85">
        <v>46052</v>
      </c>
      <c r="B143" s="72" t="s">
        <v>90</v>
      </c>
      <c r="C143" s="72">
        <v>64288</v>
      </c>
      <c r="D143">
        <v>1662</v>
      </c>
      <c r="E143" s="72" t="s">
        <v>238</v>
      </c>
      <c r="F143" t="s">
        <v>65</v>
      </c>
      <c r="G143" t="s">
        <v>47</v>
      </c>
      <c r="H143" t="s">
        <v>48</v>
      </c>
      <c r="I143" s="72" t="s">
        <v>239</v>
      </c>
      <c r="J143" s="72"/>
      <c r="K143" s="72">
        <v>0.20011999999999999</v>
      </c>
      <c r="L143" s="72">
        <v>200.12</v>
      </c>
    </row>
    <row r="144" spans="1:12">
      <c r="A144" s="85">
        <v>46052</v>
      </c>
      <c r="B144" s="72" t="s">
        <v>90</v>
      </c>
      <c r="C144" s="72">
        <v>64289</v>
      </c>
      <c r="D144" s="19">
        <v>1663</v>
      </c>
      <c r="E144" s="72" t="s">
        <v>240</v>
      </c>
      <c r="F144" t="s">
        <v>65</v>
      </c>
      <c r="G144" t="s">
        <v>47</v>
      </c>
      <c r="H144" t="s">
        <v>54</v>
      </c>
      <c r="I144" s="72" t="s">
        <v>241</v>
      </c>
      <c r="J144" s="72"/>
      <c r="K144" s="72">
        <v>9.4E-2</v>
      </c>
      <c r="L144" s="72">
        <v>94</v>
      </c>
    </row>
    <row r="145" spans="1:12">
      <c r="A145" s="85">
        <v>46052</v>
      </c>
      <c r="B145" s="72" t="s">
        <v>90</v>
      </c>
      <c r="C145" s="72">
        <v>64289</v>
      </c>
      <c r="D145">
        <v>1664</v>
      </c>
      <c r="E145" s="72" t="s">
        <v>167</v>
      </c>
      <c r="F145" t="s">
        <v>65</v>
      </c>
      <c r="G145" t="s">
        <v>47</v>
      </c>
      <c r="H145" t="s">
        <v>54</v>
      </c>
      <c r="I145" s="72" t="s">
        <v>243</v>
      </c>
      <c r="J145" s="72"/>
      <c r="K145" s="72">
        <v>0.20741000000000001</v>
      </c>
      <c r="L145" s="72">
        <v>207.41000000000003</v>
      </c>
    </row>
    <row r="146" spans="1:12">
      <c r="A146" s="85">
        <v>46052</v>
      </c>
      <c r="B146" s="72" t="s">
        <v>90</v>
      </c>
      <c r="C146" s="72">
        <v>64289</v>
      </c>
      <c r="D146" s="19">
        <v>1665</v>
      </c>
      <c r="E146" s="72" t="s">
        <v>244</v>
      </c>
      <c r="F146" t="s">
        <v>65</v>
      </c>
      <c r="G146" t="s">
        <v>47</v>
      </c>
      <c r="H146" t="s">
        <v>54</v>
      </c>
      <c r="I146" s="72"/>
      <c r="J146" s="72"/>
      <c r="K146" s="72">
        <v>0.12926000000000001</v>
      </c>
      <c r="L146" s="72">
        <v>129.26000000000002</v>
      </c>
    </row>
    <row r="147" spans="1:12">
      <c r="A147" s="85">
        <v>46057</v>
      </c>
      <c r="B147" s="72" t="s">
        <v>44</v>
      </c>
      <c r="C147" s="72">
        <v>64280</v>
      </c>
      <c r="D147">
        <v>1666</v>
      </c>
      <c r="E147" s="72" t="s">
        <v>140</v>
      </c>
      <c r="F147" t="s">
        <v>46</v>
      </c>
      <c r="G147" t="s">
        <v>47</v>
      </c>
      <c r="H147" t="s">
        <v>48</v>
      </c>
      <c r="I147" s="72" t="s">
        <v>246</v>
      </c>
      <c r="J147" s="72"/>
      <c r="K147" s="72">
        <v>0.13761000000000001</v>
      </c>
      <c r="L147" s="72">
        <v>137.61000000000001</v>
      </c>
    </row>
    <row r="148" spans="1:12">
      <c r="A148" s="85">
        <v>46057</v>
      </c>
      <c r="B148" s="72" t="s">
        <v>44</v>
      </c>
      <c r="C148" s="72">
        <v>64280</v>
      </c>
      <c r="D148">
        <v>1667</v>
      </c>
      <c r="E148" s="72" t="s">
        <v>82</v>
      </c>
      <c r="F148" t="s">
        <v>46</v>
      </c>
      <c r="G148" t="s">
        <v>47</v>
      </c>
      <c r="H148" t="s">
        <v>48</v>
      </c>
      <c r="I148" s="72" t="s">
        <v>247</v>
      </c>
      <c r="J148" s="72"/>
      <c r="K148" s="72">
        <v>0.18018999999999999</v>
      </c>
      <c r="L148" s="72">
        <v>180.19</v>
      </c>
    </row>
    <row r="149" spans="1:12">
      <c r="A149" s="85">
        <v>46057</v>
      </c>
      <c r="B149" s="72" t="s">
        <v>90</v>
      </c>
      <c r="C149" s="72">
        <v>64280</v>
      </c>
      <c r="D149">
        <v>1668</v>
      </c>
      <c r="E149" s="72" t="s">
        <v>140</v>
      </c>
      <c r="F149" t="s">
        <v>46</v>
      </c>
      <c r="G149" t="s">
        <v>47</v>
      </c>
      <c r="H149" t="s">
        <v>48</v>
      </c>
      <c r="I149" s="72" t="s">
        <v>248</v>
      </c>
      <c r="J149" s="72"/>
      <c r="K149" s="72">
        <v>0.11247</v>
      </c>
      <c r="L149" s="72">
        <v>112.47</v>
      </c>
    </row>
    <row r="150" spans="1:12">
      <c r="A150" s="85">
        <v>46057</v>
      </c>
      <c r="B150" s="72" t="s">
        <v>90</v>
      </c>
      <c r="C150" s="72">
        <v>64280</v>
      </c>
      <c r="D150">
        <v>1669</v>
      </c>
      <c r="E150" s="72" t="s">
        <v>142</v>
      </c>
      <c r="F150" t="s">
        <v>46</v>
      </c>
      <c r="G150" t="s">
        <v>47</v>
      </c>
      <c r="H150" t="s">
        <v>48</v>
      </c>
      <c r="I150" s="72"/>
      <c r="J150" s="72"/>
      <c r="K150" s="72">
        <v>0.15351000000000001</v>
      </c>
      <c r="L150" s="72">
        <v>153.51000000000002</v>
      </c>
    </row>
    <row r="151" spans="1:12">
      <c r="A151" s="85">
        <v>46057</v>
      </c>
      <c r="B151" s="72" t="s">
        <v>90</v>
      </c>
      <c r="C151" s="72">
        <v>64281</v>
      </c>
      <c r="D151">
        <v>1670</v>
      </c>
      <c r="E151" s="72" t="s">
        <v>194</v>
      </c>
      <c r="F151" t="s">
        <v>46</v>
      </c>
      <c r="G151" t="s">
        <v>47</v>
      </c>
      <c r="H151" t="s">
        <v>54</v>
      </c>
      <c r="I151" s="72" t="s">
        <v>249</v>
      </c>
      <c r="J151" s="72"/>
      <c r="K151" s="72">
        <v>8.0149999999999999E-2</v>
      </c>
      <c r="L151" s="72">
        <v>80.150000000000006</v>
      </c>
    </row>
    <row r="152" spans="1:12">
      <c r="A152" s="85">
        <v>46057</v>
      </c>
      <c r="B152" s="72" t="s">
        <v>44</v>
      </c>
      <c r="C152" s="72">
        <v>64281</v>
      </c>
      <c r="D152">
        <v>1671</v>
      </c>
      <c r="E152" s="72" t="s">
        <v>184</v>
      </c>
      <c r="F152" t="s">
        <v>46</v>
      </c>
      <c r="G152" t="s">
        <v>47</v>
      </c>
      <c r="H152" t="s">
        <v>54</v>
      </c>
      <c r="I152" s="72"/>
      <c r="J152" s="72"/>
      <c r="K152" s="72">
        <v>0.18576999999999999</v>
      </c>
      <c r="L152" s="72">
        <v>185.76999999999998</v>
      </c>
    </row>
    <row r="153" spans="1:12">
      <c r="A153" s="85">
        <v>46057</v>
      </c>
      <c r="B153" s="72" t="s">
        <v>44</v>
      </c>
      <c r="C153" s="72">
        <v>64281</v>
      </c>
      <c r="D153">
        <v>1672</v>
      </c>
      <c r="E153" s="72" t="s">
        <v>250</v>
      </c>
      <c r="F153" t="s">
        <v>46</v>
      </c>
      <c r="G153" t="s">
        <v>47</v>
      </c>
      <c r="H153" t="s">
        <v>54</v>
      </c>
      <c r="I153" s="72" t="s">
        <v>252</v>
      </c>
      <c r="J153" s="72"/>
      <c r="K153" s="72">
        <v>6.6070000000000004E-2</v>
      </c>
      <c r="L153" s="72">
        <v>66.070000000000007</v>
      </c>
    </row>
    <row r="154" spans="1:12">
      <c r="A154" s="85">
        <v>46057</v>
      </c>
      <c r="B154" s="72" t="s">
        <v>90</v>
      </c>
      <c r="C154" s="72">
        <v>64281</v>
      </c>
      <c r="D154">
        <v>1673</v>
      </c>
      <c r="E154" s="72" t="s">
        <v>251</v>
      </c>
      <c r="F154" t="s">
        <v>46</v>
      </c>
      <c r="G154" t="s">
        <v>47</v>
      </c>
      <c r="H154" t="s">
        <v>54</v>
      </c>
      <c r="I154" s="72" t="s">
        <v>254</v>
      </c>
      <c r="J154" s="72"/>
      <c r="K154" s="72">
        <v>0.14141000000000001</v>
      </c>
      <c r="L154" s="72">
        <v>141.41</v>
      </c>
    </row>
    <row r="155" spans="1:12">
      <c r="A155" s="85">
        <v>46057</v>
      </c>
      <c r="B155" s="72" t="s">
        <v>44</v>
      </c>
      <c r="C155" s="72">
        <v>64281</v>
      </c>
      <c r="D155">
        <v>1674</v>
      </c>
      <c r="E155" s="72" t="s">
        <v>253</v>
      </c>
      <c r="F155" t="s">
        <v>46</v>
      </c>
      <c r="G155" t="s">
        <v>47</v>
      </c>
      <c r="H155" t="s">
        <v>54</v>
      </c>
      <c r="I155" s="72" t="s">
        <v>256</v>
      </c>
      <c r="J155" s="72"/>
      <c r="K155" s="72">
        <v>0.10061</v>
      </c>
      <c r="L155" s="72">
        <v>100.61</v>
      </c>
    </row>
    <row r="156" spans="1:12">
      <c r="A156" s="85">
        <v>46057</v>
      </c>
      <c r="B156" s="72" t="s">
        <v>90</v>
      </c>
      <c r="C156" s="72">
        <v>64281</v>
      </c>
      <c r="D156">
        <v>1675</v>
      </c>
      <c r="E156" s="72" t="s">
        <v>255</v>
      </c>
      <c r="F156" t="s">
        <v>46</v>
      </c>
      <c r="G156" t="s">
        <v>47</v>
      </c>
      <c r="H156" t="s">
        <v>54</v>
      </c>
      <c r="I156" s="72"/>
      <c r="J156" s="72"/>
      <c r="K156" s="72">
        <v>0.16671</v>
      </c>
      <c r="L156" s="72">
        <v>166.71</v>
      </c>
    </row>
    <row r="157" spans="1:12">
      <c r="A157" s="72"/>
      <c r="B157" s="72"/>
      <c r="C157" s="72"/>
      <c r="E157" s="72"/>
      <c r="I157" s="72"/>
      <c r="J157" s="72"/>
      <c r="K157" s="72"/>
      <c r="L157" s="72"/>
    </row>
  </sheetData>
  <conditionalFormatting sqref="H2:H156">
    <cfRule type="containsText" dxfId="443" priority="2" operator="containsText" text="Biocytin+">
      <formula>NOT(ISERROR(SEARCH("Biocytin+",H2)))</formula>
    </cfRule>
  </conditionalFormatting>
  <conditionalFormatting sqref="G2:G156">
    <cfRule type="containsText" dxfId="442" priority="1" operator="containsText" text="CFM">
      <formula>NOT(ISERROR(SEARCH("CFM",G2)))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A58F-4C7C-4561-835F-EF897F845996}">
  <sheetPr>
    <tabColor rgb="FFFFF48C"/>
  </sheetPr>
  <dimension ref="A1:R156"/>
  <sheetViews>
    <sheetView topLeftCell="A151" workbookViewId="0">
      <selection activeCell="D1" sqref="D1"/>
    </sheetView>
  </sheetViews>
  <sheetFormatPr defaultRowHeight="15"/>
  <cols>
    <col min="1" max="1" width="11.42578125" bestFit="1" customWidth="1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</v>
      </c>
      <c r="L1" s="1" t="s">
        <v>20</v>
      </c>
      <c r="M1" s="1" t="s">
        <v>21</v>
      </c>
      <c r="N1" s="1" t="s">
        <v>22</v>
      </c>
      <c r="P1" s="1" t="s">
        <v>23</v>
      </c>
    </row>
    <row r="2" spans="1:16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H2" t="s">
        <v>48</v>
      </c>
      <c r="I2" t="s">
        <v>49</v>
      </c>
      <c r="J2" t="s">
        <v>50</v>
      </c>
      <c r="K2">
        <v>6</v>
      </c>
      <c r="L2">
        <v>-80.411415100097599</v>
      </c>
      <c r="M2">
        <v>450.11080932617102</v>
      </c>
      <c r="N2">
        <f>M2-L2</f>
        <v>530.52222442626862</v>
      </c>
      <c r="P2">
        <v>1</v>
      </c>
    </row>
    <row r="3" spans="1:16">
      <c r="A3" s="2">
        <v>45979</v>
      </c>
      <c r="B3" t="s">
        <v>44</v>
      </c>
      <c r="C3">
        <v>63562</v>
      </c>
      <c r="D3">
        <v>1521</v>
      </c>
      <c r="E3" t="s">
        <v>51</v>
      </c>
      <c r="F3" t="s">
        <v>46</v>
      </c>
      <c r="H3" t="s">
        <v>48</v>
      </c>
      <c r="I3" t="s">
        <v>52</v>
      </c>
      <c r="J3" t="s">
        <v>50</v>
      </c>
      <c r="K3">
        <v>7</v>
      </c>
      <c r="L3">
        <v>-65.738418579101506</v>
      </c>
      <c r="M3">
        <v>591.587158203125</v>
      </c>
      <c r="N3">
        <f t="shared" ref="N3:N11" si="0">M3-L3</f>
        <v>657.32557678222656</v>
      </c>
      <c r="P3">
        <v>1</v>
      </c>
    </row>
    <row r="4" spans="1:16">
      <c r="A4" s="2">
        <v>45979</v>
      </c>
      <c r="B4" t="s">
        <v>44</v>
      </c>
      <c r="C4">
        <v>63563</v>
      </c>
      <c r="D4">
        <v>1522</v>
      </c>
      <c r="E4" t="s">
        <v>53</v>
      </c>
      <c r="F4" t="s">
        <v>46</v>
      </c>
      <c r="H4" t="s">
        <v>54</v>
      </c>
      <c r="I4" t="s">
        <v>55</v>
      </c>
      <c r="J4" t="s">
        <v>50</v>
      </c>
      <c r="K4">
        <v>6</v>
      </c>
      <c r="L4">
        <v>-51.134372711181598</v>
      </c>
      <c r="M4">
        <v>1086.25366210937</v>
      </c>
      <c r="N4">
        <f t="shared" si="0"/>
        <v>1137.3880348205516</v>
      </c>
      <c r="P4">
        <v>1</v>
      </c>
    </row>
    <row r="5" spans="1:16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H5" t="s">
        <v>54</v>
      </c>
      <c r="I5" t="s">
        <v>58</v>
      </c>
      <c r="J5" t="s">
        <v>50</v>
      </c>
      <c r="K5">
        <v>6</v>
      </c>
      <c r="L5">
        <v>-36.596687316894503</v>
      </c>
      <c r="M5">
        <v>292.46795654296801</v>
      </c>
      <c r="N5">
        <f t="shared" si="0"/>
        <v>329.06464385986249</v>
      </c>
      <c r="P5">
        <v>1</v>
      </c>
    </row>
    <row r="6" spans="1:16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H6" t="s">
        <v>54</v>
      </c>
      <c r="I6" t="s">
        <v>61</v>
      </c>
      <c r="J6" t="s">
        <v>50</v>
      </c>
      <c r="K6">
        <v>6</v>
      </c>
      <c r="L6">
        <v>-51.163204193115199</v>
      </c>
      <c r="M6">
        <v>580.97644042968705</v>
      </c>
      <c r="N6">
        <f t="shared" si="0"/>
        <v>632.13964462280228</v>
      </c>
      <c r="P6">
        <v>1</v>
      </c>
    </row>
    <row r="7" spans="1:16">
      <c r="A7" s="2">
        <v>45980</v>
      </c>
      <c r="B7" t="s">
        <v>44</v>
      </c>
      <c r="C7">
        <v>63564</v>
      </c>
      <c r="D7">
        <v>1525</v>
      </c>
      <c r="E7" t="s">
        <v>62</v>
      </c>
      <c r="F7" t="s">
        <v>46</v>
      </c>
      <c r="H7" t="s">
        <v>54</v>
      </c>
      <c r="J7" t="s">
        <v>50</v>
      </c>
      <c r="K7">
        <v>4</v>
      </c>
      <c r="L7">
        <v>-11.307598114013601</v>
      </c>
      <c r="M7">
        <v>469.15689086914</v>
      </c>
      <c r="N7">
        <f t="shared" si="0"/>
        <v>480.46448898315361</v>
      </c>
      <c r="P7">
        <v>1</v>
      </c>
    </row>
    <row r="8" spans="1:16">
      <c r="A8" s="2">
        <v>45980</v>
      </c>
      <c r="B8" t="s">
        <v>44</v>
      </c>
      <c r="C8">
        <v>63565</v>
      </c>
      <c r="D8">
        <v>1526</v>
      </c>
      <c r="E8" t="s">
        <v>63</v>
      </c>
      <c r="F8" t="s">
        <v>46</v>
      </c>
      <c r="H8" t="s">
        <v>48</v>
      </c>
      <c r="J8" t="s">
        <v>50</v>
      </c>
      <c r="K8">
        <v>4</v>
      </c>
      <c r="L8">
        <v>-11.305309295654199</v>
      </c>
      <c r="M8">
        <v>266.91143798828102</v>
      </c>
      <c r="N8">
        <f t="shared" si="0"/>
        <v>278.21674728393521</v>
      </c>
      <c r="P8">
        <v>1</v>
      </c>
    </row>
    <row r="9" spans="1:16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H9" t="s">
        <v>48</v>
      </c>
      <c r="J9" t="s">
        <v>50</v>
      </c>
      <c r="K9">
        <v>4</v>
      </c>
      <c r="L9">
        <v>-1.5657706260681099</v>
      </c>
      <c r="M9">
        <v>579.88092041015602</v>
      </c>
      <c r="N9">
        <f t="shared" si="0"/>
        <v>581.44669103622414</v>
      </c>
      <c r="P9">
        <v>1</v>
      </c>
    </row>
    <row r="10" spans="1:16">
      <c r="A10" s="2">
        <v>45981</v>
      </c>
      <c r="B10" t="s">
        <v>44</v>
      </c>
      <c r="C10">
        <v>63552</v>
      </c>
      <c r="D10">
        <v>1528</v>
      </c>
      <c r="E10" t="s">
        <v>51</v>
      </c>
      <c r="F10" t="s">
        <v>65</v>
      </c>
      <c r="H10" t="s">
        <v>48</v>
      </c>
      <c r="I10" t="s">
        <v>66</v>
      </c>
      <c r="J10" t="s">
        <v>50</v>
      </c>
      <c r="K10">
        <v>3</v>
      </c>
      <c r="L10">
        <v>-26.0365810394287</v>
      </c>
      <c r="M10">
        <v>428.74850463867102</v>
      </c>
      <c r="N10">
        <f t="shared" si="0"/>
        <v>454.78508567809973</v>
      </c>
      <c r="P10">
        <v>1</v>
      </c>
    </row>
    <row r="11" spans="1:16">
      <c r="A11" s="2">
        <v>45981</v>
      </c>
      <c r="B11" t="s">
        <v>44</v>
      </c>
      <c r="C11">
        <v>63553</v>
      </c>
      <c r="D11">
        <v>1529</v>
      </c>
      <c r="E11" t="s">
        <v>53</v>
      </c>
      <c r="F11" t="s">
        <v>65</v>
      </c>
      <c r="H11" t="s">
        <v>54</v>
      </c>
      <c r="I11" t="s">
        <v>67</v>
      </c>
      <c r="J11" t="s">
        <v>50</v>
      </c>
      <c r="K11">
        <v>8</v>
      </c>
      <c r="L11">
        <v>-51.2631225585937</v>
      </c>
      <c r="M11">
        <v>530.30163574218705</v>
      </c>
      <c r="N11">
        <f t="shared" si="0"/>
        <v>581.5647583007808</v>
      </c>
      <c r="P11">
        <v>1</v>
      </c>
    </row>
    <row r="12" spans="1:16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H12" t="s">
        <v>54</v>
      </c>
      <c r="J12" t="s">
        <v>50</v>
      </c>
      <c r="K12">
        <v>5</v>
      </c>
      <c r="L12">
        <v>-75.590995788574205</v>
      </c>
      <c r="M12">
        <v>1036.78381347656</v>
      </c>
      <c r="N12">
        <f>M12-L12</f>
        <v>1112.3748092651342</v>
      </c>
      <c r="P12">
        <v>1</v>
      </c>
    </row>
    <row r="13" spans="1:16">
      <c r="A13" s="2">
        <v>45985</v>
      </c>
      <c r="B13" t="s">
        <v>69</v>
      </c>
      <c r="C13">
        <v>63550</v>
      </c>
      <c r="D13" s="19">
        <v>1531</v>
      </c>
      <c r="E13" t="s">
        <v>68</v>
      </c>
      <c r="F13" t="s">
        <v>65</v>
      </c>
      <c r="H13" t="s">
        <v>54</v>
      </c>
      <c r="J13" t="s">
        <v>50</v>
      </c>
      <c r="K13">
        <v>2</v>
      </c>
      <c r="L13">
        <v>6.2752866744995099</v>
      </c>
      <c r="M13">
        <v>644.01477050781205</v>
      </c>
      <c r="N13">
        <f t="shared" ref="N13:N16" si="1">M13-L13</f>
        <v>637.73948383331253</v>
      </c>
      <c r="P13">
        <v>1</v>
      </c>
    </row>
    <row r="14" spans="1:16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H14" t="s">
        <v>54</v>
      </c>
      <c r="I14" t="s">
        <v>73</v>
      </c>
      <c r="J14" t="s">
        <v>50</v>
      </c>
      <c r="K14">
        <v>9</v>
      </c>
      <c r="L14">
        <v>-51.155197143554602</v>
      </c>
      <c r="M14">
        <v>555.873779296875</v>
      </c>
      <c r="N14">
        <f t="shared" si="1"/>
        <v>607.02897644042957</v>
      </c>
      <c r="P14">
        <v>1</v>
      </c>
    </row>
    <row r="15" spans="1:16">
      <c r="A15" s="2">
        <v>45985</v>
      </c>
      <c r="B15" t="s">
        <v>69</v>
      </c>
      <c r="C15">
        <v>63550</v>
      </c>
      <c r="D15" s="19">
        <v>1533</v>
      </c>
      <c r="E15" t="s">
        <v>74</v>
      </c>
      <c r="F15" t="s">
        <v>65</v>
      </c>
      <c r="H15" t="s">
        <v>54</v>
      </c>
      <c r="J15" t="s">
        <v>50</v>
      </c>
      <c r="K15">
        <v>4</v>
      </c>
      <c r="L15">
        <v>-8.4365472793579102</v>
      </c>
      <c r="M15">
        <v>272.02899169921801</v>
      </c>
      <c r="N15">
        <f t="shared" si="1"/>
        <v>280.46553897857592</v>
      </c>
      <c r="P15">
        <v>1</v>
      </c>
    </row>
    <row r="16" spans="1:16">
      <c r="A16" s="2">
        <v>45985</v>
      </c>
      <c r="B16" t="s">
        <v>44</v>
      </c>
      <c r="C16">
        <v>63551</v>
      </c>
      <c r="D16">
        <v>1534</v>
      </c>
      <c r="E16" t="s">
        <v>76</v>
      </c>
      <c r="F16" t="s">
        <v>65</v>
      </c>
      <c r="H16" t="s">
        <v>48</v>
      </c>
      <c r="I16" t="s">
        <v>77</v>
      </c>
      <c r="J16" t="s">
        <v>50</v>
      </c>
      <c r="K16">
        <v>3</v>
      </c>
      <c r="L16">
        <v>-100.101936340332</v>
      </c>
      <c r="M16">
        <v>961.58538818359295</v>
      </c>
      <c r="N16">
        <f t="shared" si="1"/>
        <v>1061.6873245239249</v>
      </c>
      <c r="P16">
        <v>1</v>
      </c>
    </row>
    <row r="17" spans="1:16">
      <c r="A17" s="2">
        <v>46000</v>
      </c>
      <c r="B17" t="s">
        <v>69</v>
      </c>
      <c r="C17">
        <v>63542</v>
      </c>
      <c r="D17" s="19">
        <v>1536</v>
      </c>
      <c r="E17" t="s">
        <v>78</v>
      </c>
      <c r="F17" t="s">
        <v>65</v>
      </c>
      <c r="H17" t="s">
        <v>48</v>
      </c>
      <c r="I17" t="s">
        <v>79</v>
      </c>
      <c r="J17" t="s">
        <v>80</v>
      </c>
      <c r="K17">
        <v>3</v>
      </c>
      <c r="L17">
        <v>-8.6875562667846609</v>
      </c>
      <c r="M17">
        <v>552.13342285156205</v>
      </c>
      <c r="N17">
        <f>M17-L17</f>
        <v>560.82097911834671</v>
      </c>
      <c r="P17">
        <v>2</v>
      </c>
    </row>
    <row r="18" spans="1:16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H18" t="s">
        <v>54</v>
      </c>
      <c r="I18" t="s">
        <v>81</v>
      </c>
      <c r="J18" t="s">
        <v>50</v>
      </c>
      <c r="K18">
        <v>10</v>
      </c>
      <c r="L18">
        <v>-174.17474365234301</v>
      </c>
      <c r="M18">
        <v>1265.77526855468</v>
      </c>
      <c r="N18">
        <f t="shared" ref="N18:N33" si="2">M18-L18</f>
        <v>1439.9500122070231</v>
      </c>
      <c r="P18">
        <v>1</v>
      </c>
    </row>
    <row r="19" spans="1:16">
      <c r="A19" s="2">
        <v>46000</v>
      </c>
      <c r="B19" t="s">
        <v>69</v>
      </c>
      <c r="C19">
        <v>63543</v>
      </c>
      <c r="D19" s="19">
        <v>1538</v>
      </c>
      <c r="E19" t="s">
        <v>82</v>
      </c>
      <c r="F19" t="s">
        <v>65</v>
      </c>
      <c r="H19" t="s">
        <v>54</v>
      </c>
      <c r="I19" t="s">
        <v>83</v>
      </c>
      <c r="J19" t="s">
        <v>80</v>
      </c>
      <c r="K19">
        <v>4</v>
      </c>
      <c r="L19">
        <v>30.408351898193299</v>
      </c>
      <c r="M19">
        <v>718.86895751953102</v>
      </c>
      <c r="N19">
        <f t="shared" si="2"/>
        <v>688.46060562133778</v>
      </c>
      <c r="P19">
        <v>2</v>
      </c>
    </row>
    <row r="20" spans="1:16">
      <c r="A20" s="2">
        <v>46000</v>
      </c>
      <c r="B20" t="s">
        <v>44</v>
      </c>
      <c r="C20">
        <v>63543</v>
      </c>
      <c r="D20">
        <v>1539</v>
      </c>
      <c r="E20" t="s">
        <v>84</v>
      </c>
      <c r="F20" t="s">
        <v>65</v>
      </c>
      <c r="H20" t="s">
        <v>54</v>
      </c>
      <c r="I20" t="s">
        <v>85</v>
      </c>
      <c r="J20" t="s">
        <v>50</v>
      </c>
      <c r="K20">
        <v>5</v>
      </c>
      <c r="L20">
        <v>-51.125370025634702</v>
      </c>
      <c r="M20">
        <v>454.52410888671801</v>
      </c>
      <c r="N20">
        <f t="shared" si="2"/>
        <v>505.64947891235272</v>
      </c>
      <c r="P20">
        <v>1</v>
      </c>
    </row>
    <row r="21" spans="1:16">
      <c r="A21" s="2">
        <v>46001</v>
      </c>
      <c r="B21" t="s">
        <v>69</v>
      </c>
      <c r="C21">
        <v>63558</v>
      </c>
      <c r="D21">
        <v>1540</v>
      </c>
      <c r="E21" t="s">
        <v>86</v>
      </c>
      <c r="F21" t="s">
        <v>46</v>
      </c>
      <c r="H21" t="s">
        <v>54</v>
      </c>
      <c r="J21" t="s">
        <v>50</v>
      </c>
      <c r="K21">
        <v>5</v>
      </c>
      <c r="L21">
        <v>-136.81881713867099</v>
      </c>
      <c r="M21">
        <v>475.010009765625</v>
      </c>
      <c r="N21">
        <f t="shared" si="2"/>
        <v>611.82882690429597</v>
      </c>
      <c r="P21">
        <v>1</v>
      </c>
    </row>
    <row r="22" spans="1:16">
      <c r="A22" s="2">
        <v>46001</v>
      </c>
      <c r="B22" t="s">
        <v>69</v>
      </c>
      <c r="C22">
        <v>63559</v>
      </c>
      <c r="D22" s="19">
        <v>1541</v>
      </c>
      <c r="E22" t="s">
        <v>87</v>
      </c>
      <c r="F22" t="s">
        <v>46</v>
      </c>
      <c r="H22" t="s">
        <v>48</v>
      </c>
      <c r="I22" t="s">
        <v>88</v>
      </c>
      <c r="J22" t="s">
        <v>50</v>
      </c>
      <c r="K22">
        <v>9</v>
      </c>
      <c r="L22">
        <v>-736.46319580078102</v>
      </c>
      <c r="M22">
        <v>-22.6143074035644</v>
      </c>
      <c r="N22">
        <f t="shared" si="2"/>
        <v>713.84888839721657</v>
      </c>
      <c r="P22">
        <v>1</v>
      </c>
    </row>
    <row r="23" spans="1:16">
      <c r="A23" s="2">
        <v>46001</v>
      </c>
      <c r="B23" t="s">
        <v>90</v>
      </c>
      <c r="C23">
        <v>63559</v>
      </c>
      <c r="D23" s="19">
        <v>1542</v>
      </c>
      <c r="E23" t="s">
        <v>91</v>
      </c>
      <c r="F23" t="s">
        <v>46</v>
      </c>
      <c r="H23" t="s">
        <v>48</v>
      </c>
      <c r="J23" t="s">
        <v>50</v>
      </c>
      <c r="K23">
        <v>6</v>
      </c>
      <c r="L23">
        <v>-1946.79895019531</v>
      </c>
      <c r="M23">
        <v>-739.48004150390602</v>
      </c>
      <c r="N23">
        <f t="shared" si="2"/>
        <v>1207.318908691404</v>
      </c>
      <c r="P23">
        <v>1</v>
      </c>
    </row>
    <row r="24" spans="1:16">
      <c r="A24" s="2">
        <v>46002</v>
      </c>
      <c r="B24" t="s">
        <v>69</v>
      </c>
      <c r="C24">
        <v>63560</v>
      </c>
      <c r="D24">
        <v>1543</v>
      </c>
      <c r="E24" t="s">
        <v>93</v>
      </c>
      <c r="F24" t="s">
        <v>46</v>
      </c>
      <c r="H24" t="s">
        <v>54</v>
      </c>
      <c r="I24" t="s">
        <v>94</v>
      </c>
      <c r="J24" t="s">
        <v>50</v>
      </c>
      <c r="K24">
        <v>9</v>
      </c>
      <c r="L24">
        <v>-37.8485107421875</v>
      </c>
      <c r="M24">
        <v>828.403564453125</v>
      </c>
      <c r="N24">
        <f t="shared" si="2"/>
        <v>866.2520751953125</v>
      </c>
      <c r="P24">
        <v>1</v>
      </c>
    </row>
    <row r="25" spans="1:16">
      <c r="A25" s="2">
        <v>46002</v>
      </c>
      <c r="B25" t="s">
        <v>69</v>
      </c>
      <c r="C25">
        <v>63561</v>
      </c>
      <c r="D25" s="19">
        <v>1544</v>
      </c>
      <c r="E25" t="s">
        <v>95</v>
      </c>
      <c r="F25" t="s">
        <v>46</v>
      </c>
      <c r="H25" t="s">
        <v>48</v>
      </c>
      <c r="I25" t="s">
        <v>96</v>
      </c>
      <c r="J25" t="s">
        <v>50</v>
      </c>
      <c r="K25">
        <v>7</v>
      </c>
      <c r="L25">
        <v>-18.338615417480401</v>
      </c>
      <c r="M25">
        <v>644.28082275390602</v>
      </c>
      <c r="N25">
        <f t="shared" si="2"/>
        <v>662.61943817138638</v>
      </c>
      <c r="P25">
        <v>1</v>
      </c>
    </row>
    <row r="26" spans="1:16">
      <c r="A26" s="2">
        <v>46002</v>
      </c>
      <c r="B26" t="s">
        <v>44</v>
      </c>
      <c r="C26">
        <v>63561</v>
      </c>
      <c r="D26">
        <v>1545</v>
      </c>
      <c r="E26" t="s">
        <v>97</v>
      </c>
      <c r="F26" t="s">
        <v>46</v>
      </c>
      <c r="H26" t="s">
        <v>48</v>
      </c>
      <c r="J26" t="s">
        <v>50</v>
      </c>
      <c r="K26">
        <v>5</v>
      </c>
      <c r="L26">
        <v>38.453521728515597</v>
      </c>
      <c r="M26">
        <v>190.35144042968699</v>
      </c>
      <c r="N26">
        <f t="shared" si="2"/>
        <v>151.89791870117139</v>
      </c>
      <c r="P26">
        <v>1</v>
      </c>
    </row>
    <row r="27" spans="1:16">
      <c r="A27" s="2">
        <v>46002</v>
      </c>
      <c r="B27" t="s">
        <v>90</v>
      </c>
      <c r="C27">
        <v>63560</v>
      </c>
      <c r="D27" s="19">
        <v>1546</v>
      </c>
      <c r="F27" t="s">
        <v>46</v>
      </c>
      <c r="H27" t="s">
        <v>48</v>
      </c>
      <c r="J27" t="s">
        <v>50</v>
      </c>
      <c r="K27" t="s">
        <v>98</v>
      </c>
      <c r="N27">
        <f t="shared" si="2"/>
        <v>0</v>
      </c>
    </row>
    <row r="28" spans="1:16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H28" t="s">
        <v>54</v>
      </c>
      <c r="I28" t="s">
        <v>100</v>
      </c>
      <c r="J28" t="s">
        <v>50</v>
      </c>
      <c r="K28">
        <v>4</v>
      </c>
      <c r="L28">
        <v>-115.370635986328</v>
      </c>
      <c r="M28">
        <v>567.486083984375</v>
      </c>
      <c r="N28">
        <f t="shared" si="2"/>
        <v>682.85671997070301</v>
      </c>
      <c r="P28">
        <v>1</v>
      </c>
    </row>
    <row r="29" spans="1:16">
      <c r="A29" s="2">
        <v>46003</v>
      </c>
      <c r="B29" t="s">
        <v>101</v>
      </c>
      <c r="C29">
        <v>63544</v>
      </c>
      <c r="D29" s="19">
        <v>1548</v>
      </c>
      <c r="E29" t="s">
        <v>102</v>
      </c>
      <c r="F29" t="s">
        <v>65</v>
      </c>
      <c r="H29" t="s">
        <v>54</v>
      </c>
      <c r="I29" t="s">
        <v>103</v>
      </c>
      <c r="J29" t="s">
        <v>50</v>
      </c>
      <c r="K29">
        <v>3</v>
      </c>
      <c r="L29">
        <v>-8.5534648895263601</v>
      </c>
      <c r="M29">
        <v>195.21859741210901</v>
      </c>
      <c r="N29">
        <f t="shared" si="2"/>
        <v>203.77206230163537</v>
      </c>
      <c r="P29">
        <v>1</v>
      </c>
    </row>
    <row r="30" spans="1:16">
      <c r="A30" s="2">
        <v>46003</v>
      </c>
      <c r="B30" t="s">
        <v>90</v>
      </c>
      <c r="C30">
        <v>63544</v>
      </c>
      <c r="D30">
        <v>1549</v>
      </c>
      <c r="E30" t="s">
        <v>104</v>
      </c>
      <c r="F30" t="s">
        <v>65</v>
      </c>
      <c r="H30" t="s">
        <v>54</v>
      </c>
      <c r="J30" t="s">
        <v>80</v>
      </c>
      <c r="K30">
        <v>7</v>
      </c>
      <c r="L30">
        <v>-64.276535034179602</v>
      </c>
      <c r="M30">
        <v>810.51556396484295</v>
      </c>
      <c r="N30">
        <f t="shared" si="2"/>
        <v>874.79209899902253</v>
      </c>
      <c r="P30">
        <v>1</v>
      </c>
    </row>
    <row r="31" spans="1:16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H31" t="s">
        <v>48</v>
      </c>
      <c r="I31" t="s">
        <v>106</v>
      </c>
      <c r="J31" t="s">
        <v>50</v>
      </c>
      <c r="K31">
        <v>2</v>
      </c>
      <c r="L31">
        <v>-58.061351776122997</v>
      </c>
      <c r="M31">
        <v>681.44970703125</v>
      </c>
      <c r="N31">
        <f t="shared" si="2"/>
        <v>739.51105880737305</v>
      </c>
      <c r="P31">
        <v>1</v>
      </c>
    </row>
    <row r="32" spans="1:16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H32" t="s">
        <v>108</v>
      </c>
      <c r="I32" t="s">
        <v>109</v>
      </c>
      <c r="J32" t="s">
        <v>50</v>
      </c>
      <c r="K32">
        <v>4</v>
      </c>
      <c r="L32">
        <v>-60.940727233886697</v>
      </c>
      <c r="M32">
        <v>419.43673706054602</v>
      </c>
      <c r="N32">
        <f t="shared" si="2"/>
        <v>480.37746429443274</v>
      </c>
      <c r="P32">
        <v>1</v>
      </c>
    </row>
    <row r="33" spans="1:16">
      <c r="A33" s="2">
        <v>46003</v>
      </c>
      <c r="B33" t="s">
        <v>90</v>
      </c>
      <c r="C33">
        <v>63545</v>
      </c>
      <c r="D33" s="81">
        <v>1552</v>
      </c>
      <c r="E33" t="s">
        <v>110</v>
      </c>
      <c r="F33" t="s">
        <v>65</v>
      </c>
      <c r="H33" t="s">
        <v>48</v>
      </c>
      <c r="J33" t="s">
        <v>50</v>
      </c>
      <c r="K33">
        <v>1</v>
      </c>
      <c r="L33">
        <v>-171.50054931640599</v>
      </c>
      <c r="M33">
        <v>445.94790649414</v>
      </c>
      <c r="N33">
        <f t="shared" si="2"/>
        <v>617.44845581054597</v>
      </c>
      <c r="P33">
        <v>1</v>
      </c>
    </row>
    <row r="34" spans="1:16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H34" t="s">
        <v>48</v>
      </c>
      <c r="J34" t="s">
        <v>50</v>
      </c>
      <c r="K34">
        <v>3</v>
      </c>
      <c r="L34">
        <v>13.3098134994506</v>
      </c>
      <c r="M34">
        <v>872.31756591796795</v>
      </c>
      <c r="N34">
        <f>M34-L34</f>
        <v>859.00775241851738</v>
      </c>
      <c r="P34">
        <v>1</v>
      </c>
    </row>
    <row r="35" spans="1:16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H35" t="s">
        <v>48</v>
      </c>
      <c r="J35" t="s">
        <v>50</v>
      </c>
      <c r="K35">
        <v>9</v>
      </c>
      <c r="L35">
        <v>15.980196952819799</v>
      </c>
      <c r="M35">
        <v>883.05352783203102</v>
      </c>
      <c r="N35">
        <f t="shared" ref="N35:N58" si="3">M35-L35</f>
        <v>867.0733308792112</v>
      </c>
      <c r="P35">
        <v>1</v>
      </c>
    </row>
    <row r="36" spans="1:16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H36" t="s">
        <v>48</v>
      </c>
      <c r="I36" t="s">
        <v>112</v>
      </c>
      <c r="J36" t="s">
        <v>50</v>
      </c>
      <c r="K36">
        <v>4</v>
      </c>
      <c r="L36">
        <v>-11.347870826721101</v>
      </c>
      <c r="M36">
        <v>216.29920959472599</v>
      </c>
      <c r="N36">
        <f t="shared" si="3"/>
        <v>227.6470804214471</v>
      </c>
      <c r="P36">
        <v>1</v>
      </c>
    </row>
    <row r="37" spans="1:16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H37" t="s">
        <v>48</v>
      </c>
      <c r="J37" t="s">
        <v>50</v>
      </c>
      <c r="K37">
        <v>3</v>
      </c>
      <c r="L37">
        <v>-37.877494812011697</v>
      </c>
      <c r="M37">
        <v>828.403564453125</v>
      </c>
      <c r="N37">
        <f t="shared" si="3"/>
        <v>866.28105926513672</v>
      </c>
      <c r="P37">
        <v>1</v>
      </c>
    </row>
    <row r="38" spans="1:16">
      <c r="A38" s="2">
        <v>46007</v>
      </c>
      <c r="B38" t="s">
        <v>90</v>
      </c>
      <c r="C38">
        <v>63549</v>
      </c>
      <c r="D38">
        <v>1557</v>
      </c>
      <c r="E38" t="s">
        <v>114</v>
      </c>
      <c r="F38" t="s">
        <v>65</v>
      </c>
      <c r="H38" t="s">
        <v>48</v>
      </c>
      <c r="I38" t="s">
        <v>115</v>
      </c>
      <c r="J38" t="s">
        <v>50</v>
      </c>
      <c r="K38">
        <v>4</v>
      </c>
      <c r="L38">
        <v>-30.408199310302699</v>
      </c>
      <c r="M38">
        <v>453.35037231445301</v>
      </c>
      <c r="N38">
        <f t="shared" si="3"/>
        <v>483.75857162475569</v>
      </c>
      <c r="P38">
        <v>1</v>
      </c>
    </row>
    <row r="39" spans="1:16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H39" t="s">
        <v>54</v>
      </c>
      <c r="J39" t="s">
        <v>50</v>
      </c>
      <c r="K39">
        <v>3</v>
      </c>
      <c r="L39">
        <v>-3.7896409034728999</v>
      </c>
      <c r="M39">
        <v>455.165771484375</v>
      </c>
      <c r="N39">
        <f t="shared" si="3"/>
        <v>458.9554123878479</v>
      </c>
      <c r="P39">
        <v>1</v>
      </c>
    </row>
    <row r="40" spans="1:16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H40" t="s">
        <v>54</v>
      </c>
      <c r="J40" t="s">
        <v>50</v>
      </c>
      <c r="K40">
        <v>6</v>
      </c>
      <c r="L40">
        <v>-67.915153503417898</v>
      </c>
      <c r="M40">
        <v>544.10491943359295</v>
      </c>
      <c r="N40">
        <f t="shared" si="3"/>
        <v>612.02007293701081</v>
      </c>
      <c r="P40">
        <v>1</v>
      </c>
    </row>
    <row r="41" spans="1:16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H41" t="s">
        <v>54</v>
      </c>
      <c r="I41" t="s">
        <v>119</v>
      </c>
      <c r="J41" t="s">
        <v>50</v>
      </c>
      <c r="K41">
        <v>3</v>
      </c>
      <c r="L41">
        <v>-60.967117309570298</v>
      </c>
      <c r="M41">
        <v>394.64706420898398</v>
      </c>
      <c r="N41">
        <f t="shared" si="3"/>
        <v>455.61418151855429</v>
      </c>
      <c r="P41">
        <v>1</v>
      </c>
    </row>
    <row r="42" spans="1:16">
      <c r="A42" s="2">
        <v>46007</v>
      </c>
      <c r="B42" t="s">
        <v>90</v>
      </c>
      <c r="C42">
        <v>63546</v>
      </c>
      <c r="D42" s="58">
        <v>1561</v>
      </c>
      <c r="E42" t="s">
        <v>120</v>
      </c>
      <c r="F42" t="s">
        <v>65</v>
      </c>
      <c r="H42" t="s">
        <v>54</v>
      </c>
      <c r="I42" t="s">
        <v>121</v>
      </c>
      <c r="J42" t="s">
        <v>50</v>
      </c>
      <c r="K42">
        <v>5</v>
      </c>
      <c r="L42">
        <v>-608.59509277343705</v>
      </c>
      <c r="M42">
        <v>104.80831909179599</v>
      </c>
      <c r="N42">
        <f t="shared" si="3"/>
        <v>713.40341186523301</v>
      </c>
      <c r="P42">
        <v>1</v>
      </c>
    </row>
    <row r="43" spans="1:16">
      <c r="A43" s="2">
        <v>46008</v>
      </c>
      <c r="B43" t="s">
        <v>90</v>
      </c>
      <c r="C43">
        <v>63554</v>
      </c>
      <c r="D43" s="19">
        <v>1562</v>
      </c>
      <c r="E43" t="s">
        <v>91</v>
      </c>
      <c r="F43" t="s">
        <v>46</v>
      </c>
      <c r="H43" t="s">
        <v>54</v>
      </c>
      <c r="J43" t="s">
        <v>50</v>
      </c>
      <c r="K43">
        <v>1</v>
      </c>
      <c r="L43">
        <v>-20.67476272583</v>
      </c>
      <c r="M43">
        <v>81.474105834960895</v>
      </c>
      <c r="N43">
        <f t="shared" si="3"/>
        <v>102.1488685607909</v>
      </c>
      <c r="P43">
        <v>1</v>
      </c>
    </row>
    <row r="44" spans="1:16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H44" t="s">
        <v>54</v>
      </c>
      <c r="I44" t="s">
        <v>123</v>
      </c>
      <c r="J44" t="s">
        <v>50</v>
      </c>
      <c r="K44">
        <v>3</v>
      </c>
      <c r="L44">
        <v>-149.780517578125</v>
      </c>
      <c r="M44">
        <v>507.51513671875</v>
      </c>
      <c r="N44">
        <f t="shared" si="3"/>
        <v>657.295654296875</v>
      </c>
      <c r="P44">
        <v>1</v>
      </c>
    </row>
    <row r="45" spans="1:16">
      <c r="A45" s="2">
        <v>46008</v>
      </c>
      <c r="B45" t="s">
        <v>44</v>
      </c>
      <c r="C45">
        <v>63554</v>
      </c>
      <c r="D45">
        <v>1564</v>
      </c>
      <c r="E45" t="s">
        <v>124</v>
      </c>
      <c r="F45" t="s">
        <v>46</v>
      </c>
      <c r="H45" t="s">
        <v>54</v>
      </c>
      <c r="I45" t="s">
        <v>125</v>
      </c>
      <c r="J45" t="s">
        <v>50</v>
      </c>
      <c r="K45">
        <v>5</v>
      </c>
      <c r="L45">
        <v>-125.2280960083</v>
      </c>
      <c r="M45">
        <v>582.46319580078102</v>
      </c>
      <c r="N45">
        <f t="shared" si="3"/>
        <v>707.69129180908101</v>
      </c>
      <c r="P45">
        <v>1</v>
      </c>
    </row>
    <row r="46" spans="1:16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H46" t="s">
        <v>48</v>
      </c>
      <c r="I46" t="s">
        <v>127</v>
      </c>
      <c r="J46" t="s">
        <v>50</v>
      </c>
      <c r="K46">
        <v>6</v>
      </c>
      <c r="L46">
        <v>-1.5688216686248699</v>
      </c>
      <c r="M46">
        <v>731.044677734375</v>
      </c>
      <c r="N46">
        <f t="shared" si="3"/>
        <v>732.61349940299988</v>
      </c>
      <c r="P46">
        <v>1</v>
      </c>
    </row>
    <row r="47" spans="1:16">
      <c r="A47" s="2">
        <v>46008</v>
      </c>
      <c r="B47" t="s">
        <v>90</v>
      </c>
      <c r="C47">
        <v>63555</v>
      </c>
      <c r="D47" s="19">
        <v>1566</v>
      </c>
      <c r="E47" t="s">
        <v>104</v>
      </c>
      <c r="F47" t="s">
        <v>46</v>
      </c>
      <c r="H47" t="s">
        <v>48</v>
      </c>
      <c r="J47" t="s">
        <v>128</v>
      </c>
      <c r="K47">
        <v>10</v>
      </c>
      <c r="L47">
        <v>-220.60479736328099</v>
      </c>
      <c r="M47">
        <v>214.78114318847599</v>
      </c>
      <c r="N47">
        <f t="shared" si="3"/>
        <v>435.38594055175702</v>
      </c>
      <c r="P47">
        <v>1</v>
      </c>
    </row>
    <row r="48" spans="1:16">
      <c r="A48" s="2">
        <v>46008</v>
      </c>
      <c r="B48" t="s">
        <v>90</v>
      </c>
      <c r="C48">
        <v>63555</v>
      </c>
      <c r="D48">
        <v>1567</v>
      </c>
      <c r="E48" t="s">
        <v>110</v>
      </c>
      <c r="F48" t="s">
        <v>46</v>
      </c>
      <c r="H48" t="s">
        <v>48</v>
      </c>
      <c r="J48" t="s">
        <v>50</v>
      </c>
      <c r="K48">
        <v>5</v>
      </c>
      <c r="L48">
        <v>-171.49124145507801</v>
      </c>
      <c r="M48">
        <v>646.39361572265602</v>
      </c>
      <c r="N48">
        <f t="shared" si="3"/>
        <v>817.88485717773403</v>
      </c>
      <c r="P48">
        <v>1</v>
      </c>
    </row>
    <row r="49" spans="1:16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H49" t="s">
        <v>54</v>
      </c>
      <c r="J49" t="s">
        <v>50</v>
      </c>
      <c r="K49">
        <v>4</v>
      </c>
      <c r="L49">
        <v>15.7275743484497</v>
      </c>
      <c r="M49">
        <v>500.06573486328102</v>
      </c>
      <c r="N49">
        <f t="shared" si="3"/>
        <v>484.33816051483132</v>
      </c>
      <c r="P49">
        <v>1</v>
      </c>
    </row>
    <row r="50" spans="1:16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H50" t="s">
        <v>54</v>
      </c>
      <c r="J50" t="s">
        <v>50</v>
      </c>
      <c r="K50">
        <v>6</v>
      </c>
      <c r="L50">
        <v>-52.6638374328613</v>
      </c>
      <c r="M50">
        <v>17.355894088745099</v>
      </c>
      <c r="N50">
        <f t="shared" si="3"/>
        <v>70.019731521606403</v>
      </c>
      <c r="P50">
        <v>1</v>
      </c>
    </row>
    <row r="51" spans="1:16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H51" t="s">
        <v>54</v>
      </c>
      <c r="I51" t="s">
        <v>130</v>
      </c>
      <c r="J51" t="s">
        <v>50</v>
      </c>
      <c r="K51">
        <v>5</v>
      </c>
      <c r="L51">
        <v>-30.9283943176269</v>
      </c>
      <c r="M51">
        <v>372.87786865234301</v>
      </c>
      <c r="N51">
        <f t="shared" si="3"/>
        <v>403.80626296996991</v>
      </c>
      <c r="P51">
        <v>1</v>
      </c>
    </row>
    <row r="52" spans="1:16">
      <c r="A52" s="2">
        <v>46009</v>
      </c>
      <c r="B52" t="s">
        <v>44</v>
      </c>
      <c r="C52">
        <v>63556</v>
      </c>
      <c r="D52" s="58">
        <v>1571</v>
      </c>
      <c r="E52" t="s">
        <v>120</v>
      </c>
      <c r="F52" t="s">
        <v>46</v>
      </c>
      <c r="H52" t="s">
        <v>54</v>
      </c>
      <c r="J52" t="s">
        <v>128</v>
      </c>
      <c r="K52">
        <v>2</v>
      </c>
      <c r="L52">
        <v>-179.707427978515</v>
      </c>
      <c r="M52">
        <v>-52.944084167480398</v>
      </c>
      <c r="N52">
        <f t="shared" si="3"/>
        <v>126.7633438110346</v>
      </c>
      <c r="P52">
        <v>1</v>
      </c>
    </row>
    <row r="53" spans="1:16">
      <c r="A53" s="2">
        <v>46009</v>
      </c>
      <c r="B53" t="s">
        <v>44</v>
      </c>
      <c r="C53">
        <v>63557</v>
      </c>
      <c r="D53">
        <v>1572</v>
      </c>
      <c r="E53" t="s">
        <v>131</v>
      </c>
      <c r="F53" t="s">
        <v>46</v>
      </c>
      <c r="H53" t="s">
        <v>48</v>
      </c>
      <c r="I53" t="s">
        <v>132</v>
      </c>
      <c r="J53" t="s">
        <v>50</v>
      </c>
      <c r="K53">
        <v>4</v>
      </c>
      <c r="L53">
        <v>-154.65432739257801</v>
      </c>
      <c r="M53">
        <v>426.69833374023398</v>
      </c>
      <c r="N53">
        <f t="shared" si="3"/>
        <v>581.35266113281205</v>
      </c>
      <c r="P53">
        <v>1</v>
      </c>
    </row>
    <row r="54" spans="1:16">
      <c r="A54" s="2">
        <v>46010</v>
      </c>
      <c r="B54" t="s">
        <v>69</v>
      </c>
      <c r="C54">
        <v>63547</v>
      </c>
      <c r="D54">
        <v>1573</v>
      </c>
      <c r="E54" t="s">
        <v>133</v>
      </c>
      <c r="F54" t="s">
        <v>65</v>
      </c>
      <c r="H54" t="s">
        <v>48</v>
      </c>
      <c r="I54" t="s">
        <v>134</v>
      </c>
      <c r="J54" t="s">
        <v>50</v>
      </c>
      <c r="K54">
        <v>10</v>
      </c>
      <c r="L54">
        <v>-38.073520660400298</v>
      </c>
      <c r="M54">
        <v>599.208740234375</v>
      </c>
      <c r="N54">
        <f t="shared" si="3"/>
        <v>637.28226089477528</v>
      </c>
      <c r="P54">
        <v>1</v>
      </c>
    </row>
    <row r="55" spans="1:16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H55" t="s">
        <v>54</v>
      </c>
      <c r="I55" t="s">
        <v>135</v>
      </c>
      <c r="J55" t="s">
        <v>50</v>
      </c>
      <c r="K55">
        <v>5</v>
      </c>
      <c r="L55">
        <v>30.323381423950099</v>
      </c>
      <c r="M55">
        <v>744.12811279296795</v>
      </c>
      <c r="N55">
        <f t="shared" si="3"/>
        <v>713.80473136901787</v>
      </c>
      <c r="P55">
        <v>1</v>
      </c>
    </row>
    <row r="56" spans="1:16">
      <c r="A56" s="2">
        <v>46010</v>
      </c>
      <c r="B56" t="s">
        <v>90</v>
      </c>
      <c r="C56">
        <v>63548</v>
      </c>
      <c r="D56" s="58">
        <v>1575</v>
      </c>
      <c r="E56" t="s">
        <v>87</v>
      </c>
      <c r="F56" t="s">
        <v>65</v>
      </c>
      <c r="H56" t="s">
        <v>54</v>
      </c>
      <c r="I56" t="s">
        <v>136</v>
      </c>
      <c r="J56" t="s">
        <v>50</v>
      </c>
      <c r="K56">
        <v>4</v>
      </c>
      <c r="L56">
        <v>-25.495334625244102</v>
      </c>
      <c r="M56">
        <v>873.06878662109295</v>
      </c>
      <c r="N56">
        <f t="shared" si="3"/>
        <v>898.56412124633709</v>
      </c>
      <c r="P56">
        <v>1</v>
      </c>
    </row>
    <row r="57" spans="1:16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H57" t="s">
        <v>54</v>
      </c>
      <c r="I57" t="s">
        <v>138</v>
      </c>
      <c r="J57" t="s">
        <v>50</v>
      </c>
      <c r="K57">
        <v>8</v>
      </c>
      <c r="L57">
        <v>-33.090023040771399</v>
      </c>
      <c r="M57">
        <v>451.08111572265602</v>
      </c>
      <c r="N57">
        <f t="shared" si="3"/>
        <v>484.17113876342739</v>
      </c>
      <c r="P57">
        <v>1</v>
      </c>
    </row>
    <row r="58" spans="1:16">
      <c r="A58" s="2">
        <v>46010</v>
      </c>
      <c r="B58" t="s">
        <v>90</v>
      </c>
      <c r="C58">
        <v>63548</v>
      </c>
      <c r="D58">
        <v>1577</v>
      </c>
      <c r="E58" t="s">
        <v>110</v>
      </c>
      <c r="F58" t="s">
        <v>65</v>
      </c>
      <c r="H58" t="s">
        <v>54</v>
      </c>
      <c r="I58" t="s">
        <v>139</v>
      </c>
      <c r="J58" t="s">
        <v>50</v>
      </c>
      <c r="K58">
        <v>2</v>
      </c>
      <c r="L58">
        <v>-30.374639511108299</v>
      </c>
      <c r="M58">
        <v>405.96203613281199</v>
      </c>
      <c r="N58">
        <f t="shared" si="3"/>
        <v>436.33667564392027</v>
      </c>
      <c r="P58">
        <v>1</v>
      </c>
    </row>
    <row r="59" spans="1:16">
      <c r="A59" s="2">
        <v>46028</v>
      </c>
      <c r="B59" t="s">
        <v>44</v>
      </c>
      <c r="C59">
        <v>64063</v>
      </c>
      <c r="D59">
        <v>1578</v>
      </c>
      <c r="E59" t="s">
        <v>140</v>
      </c>
      <c r="F59" t="s">
        <v>46</v>
      </c>
      <c r="H59" t="s">
        <v>48</v>
      </c>
      <c r="I59" t="s">
        <v>141</v>
      </c>
      <c r="J59" t="s">
        <v>50</v>
      </c>
      <c r="K59" s="83">
        <v>3</v>
      </c>
      <c r="L59">
        <v>-25.97922325</v>
      </c>
      <c r="M59">
        <v>428.79544069999997</v>
      </c>
      <c r="N59">
        <f>M59-L59</f>
        <v>454.77466394999999</v>
      </c>
      <c r="P59" s="83">
        <v>1</v>
      </c>
    </row>
    <row r="60" spans="1:16">
      <c r="A60" s="2">
        <v>46028</v>
      </c>
      <c r="B60" t="s">
        <v>44</v>
      </c>
      <c r="C60">
        <v>64063</v>
      </c>
      <c r="D60">
        <v>1579</v>
      </c>
      <c r="E60" t="s">
        <v>142</v>
      </c>
      <c r="F60" t="s">
        <v>46</v>
      </c>
      <c r="H60" t="s">
        <v>48</v>
      </c>
      <c r="I60" t="s">
        <v>143</v>
      </c>
      <c r="J60" t="s">
        <v>50</v>
      </c>
      <c r="K60" s="83">
        <v>4</v>
      </c>
      <c r="L60">
        <v>-16.152120589999999</v>
      </c>
      <c r="M60">
        <v>767.24322510000002</v>
      </c>
      <c r="N60">
        <f t="shared" ref="N60:N123" si="4">M60-L60</f>
        <v>783.39534569</v>
      </c>
      <c r="P60" s="83">
        <v>1</v>
      </c>
    </row>
    <row r="61" spans="1:16">
      <c r="A61" s="2">
        <v>46028</v>
      </c>
      <c r="B61" t="s">
        <v>44</v>
      </c>
      <c r="C61">
        <v>64064</v>
      </c>
      <c r="D61">
        <v>1580</v>
      </c>
      <c r="E61" t="s">
        <v>144</v>
      </c>
      <c r="F61" t="s">
        <v>46</v>
      </c>
      <c r="H61" t="s">
        <v>54</v>
      </c>
      <c r="J61" t="s">
        <v>50</v>
      </c>
      <c r="K61" s="83">
        <v>3</v>
      </c>
      <c r="L61">
        <v>-26.013088230000001</v>
      </c>
      <c r="M61">
        <v>529.94165039999996</v>
      </c>
      <c r="N61">
        <f t="shared" si="4"/>
        <v>555.95473862999995</v>
      </c>
      <c r="P61" s="83">
        <v>1</v>
      </c>
    </row>
    <row r="62" spans="1:16">
      <c r="A62" s="2">
        <v>46028</v>
      </c>
      <c r="B62" t="s">
        <v>44</v>
      </c>
      <c r="C62">
        <v>64064</v>
      </c>
      <c r="D62">
        <v>1581</v>
      </c>
      <c r="E62" t="s">
        <v>145</v>
      </c>
      <c r="F62" t="s">
        <v>46</v>
      </c>
      <c r="H62" t="s">
        <v>54</v>
      </c>
      <c r="J62" t="s">
        <v>50</v>
      </c>
      <c r="K62" s="83">
        <v>5</v>
      </c>
      <c r="L62">
        <v>-30.896358490000001</v>
      </c>
      <c r="M62">
        <v>372.98739619999998</v>
      </c>
      <c r="N62">
        <f t="shared" si="4"/>
        <v>403.88375468999999</v>
      </c>
      <c r="P62" s="83">
        <v>1</v>
      </c>
    </row>
    <row r="63" spans="1:16">
      <c r="A63" s="2">
        <v>46028</v>
      </c>
      <c r="B63" t="s">
        <v>90</v>
      </c>
      <c r="C63">
        <v>64064</v>
      </c>
      <c r="D63" s="19">
        <v>1582</v>
      </c>
      <c r="E63" t="s">
        <v>102</v>
      </c>
      <c r="F63" t="s">
        <v>46</v>
      </c>
      <c r="H63" t="s">
        <v>54</v>
      </c>
      <c r="J63" t="s">
        <v>50</v>
      </c>
      <c r="K63" s="83">
        <v>3</v>
      </c>
      <c r="L63">
        <v>-152.1973572</v>
      </c>
      <c r="M63">
        <v>1746.873169</v>
      </c>
      <c r="N63">
        <f t="shared" si="4"/>
        <v>1899.0705261999999</v>
      </c>
      <c r="P63" s="83">
        <v>1</v>
      </c>
    </row>
    <row r="64" spans="1:16">
      <c r="A64" s="2">
        <v>46030</v>
      </c>
      <c r="B64" t="s">
        <v>44</v>
      </c>
      <c r="C64">
        <v>64055</v>
      </c>
      <c r="D64">
        <v>1583</v>
      </c>
      <c r="E64" t="s">
        <v>99</v>
      </c>
      <c r="F64" t="s">
        <v>65</v>
      </c>
      <c r="H64" t="s">
        <v>48</v>
      </c>
      <c r="I64" t="s">
        <v>147</v>
      </c>
      <c r="J64" t="s">
        <v>50</v>
      </c>
      <c r="K64" s="83">
        <v>7</v>
      </c>
      <c r="L64">
        <v>-11.362668040000001</v>
      </c>
      <c r="M64">
        <v>443.42822269999999</v>
      </c>
      <c r="N64">
        <f t="shared" si="4"/>
        <v>454.79089074000001</v>
      </c>
      <c r="P64" s="83">
        <v>1</v>
      </c>
    </row>
    <row r="65" spans="1:16">
      <c r="A65" s="2">
        <v>46030</v>
      </c>
      <c r="B65" t="s">
        <v>44</v>
      </c>
      <c r="C65">
        <v>64056</v>
      </c>
      <c r="D65">
        <v>1584</v>
      </c>
      <c r="E65" t="s">
        <v>148</v>
      </c>
      <c r="F65" t="s">
        <v>65</v>
      </c>
      <c r="H65" t="s">
        <v>54</v>
      </c>
      <c r="J65" t="s">
        <v>50</v>
      </c>
      <c r="K65" s="83">
        <v>10</v>
      </c>
      <c r="L65">
        <v>-174.14607240000001</v>
      </c>
      <c r="M65">
        <v>760.88928220000003</v>
      </c>
      <c r="N65">
        <f t="shared" si="4"/>
        <v>935.03535460000001</v>
      </c>
      <c r="P65" s="83">
        <v>1</v>
      </c>
    </row>
    <row r="66" spans="1:16">
      <c r="A66" s="2">
        <v>46030</v>
      </c>
      <c r="B66" t="s">
        <v>69</v>
      </c>
      <c r="C66">
        <v>64056</v>
      </c>
      <c r="D66">
        <v>1585</v>
      </c>
      <c r="E66" t="s">
        <v>149</v>
      </c>
      <c r="F66" t="s">
        <v>65</v>
      </c>
      <c r="H66" t="s">
        <v>54</v>
      </c>
      <c r="J66" t="s">
        <v>50</v>
      </c>
      <c r="K66" s="83">
        <v>4</v>
      </c>
      <c r="L66">
        <v>30.529476169999999</v>
      </c>
      <c r="M66">
        <v>413.08279420000002</v>
      </c>
      <c r="N66">
        <f t="shared" si="4"/>
        <v>382.55331803000001</v>
      </c>
      <c r="P66" s="83">
        <v>1</v>
      </c>
    </row>
    <row r="67" spans="1:16">
      <c r="A67" s="2">
        <v>46030</v>
      </c>
      <c r="B67" t="s">
        <v>90</v>
      </c>
      <c r="C67">
        <v>64056</v>
      </c>
      <c r="D67">
        <v>1586</v>
      </c>
      <c r="E67" t="s">
        <v>149</v>
      </c>
      <c r="F67" t="s">
        <v>65</v>
      </c>
      <c r="H67" t="s">
        <v>54</v>
      </c>
      <c r="J67" t="s">
        <v>50</v>
      </c>
      <c r="K67" s="83">
        <v>3</v>
      </c>
      <c r="L67">
        <v>-25.527675630000001</v>
      </c>
      <c r="M67">
        <v>231.77709960000001</v>
      </c>
      <c r="N67">
        <f t="shared" si="4"/>
        <v>257.30477523000002</v>
      </c>
      <c r="P67" s="83">
        <v>1</v>
      </c>
    </row>
    <row r="68" spans="1:16">
      <c r="A68" s="2">
        <v>46030</v>
      </c>
      <c r="B68" t="s">
        <v>90</v>
      </c>
      <c r="C68">
        <v>64056</v>
      </c>
      <c r="D68">
        <v>1587</v>
      </c>
      <c r="E68" t="s">
        <v>150</v>
      </c>
      <c r="F68" t="s">
        <v>65</v>
      </c>
      <c r="H68" t="s">
        <v>54</v>
      </c>
      <c r="I68" t="s">
        <v>151</v>
      </c>
      <c r="J68" t="s">
        <v>50</v>
      </c>
      <c r="K68" s="83">
        <v>4</v>
      </c>
      <c r="L68">
        <v>3.5112376209999998</v>
      </c>
      <c r="M68">
        <v>235.07925420000001</v>
      </c>
      <c r="N68">
        <f t="shared" si="4"/>
        <v>231.56801657900002</v>
      </c>
      <c r="P68" s="83">
        <v>1</v>
      </c>
    </row>
    <row r="69" spans="1:16">
      <c r="A69" s="2">
        <v>46031</v>
      </c>
      <c r="B69" t="s">
        <v>90</v>
      </c>
      <c r="C69">
        <v>64065</v>
      </c>
      <c r="D69" s="19">
        <v>1588</v>
      </c>
      <c r="E69" t="s">
        <v>68</v>
      </c>
      <c r="F69" t="s">
        <v>46</v>
      </c>
      <c r="H69" t="s">
        <v>54</v>
      </c>
      <c r="I69" t="s">
        <v>153</v>
      </c>
      <c r="J69" t="s">
        <v>50</v>
      </c>
      <c r="K69" s="83">
        <v>2</v>
      </c>
      <c r="L69">
        <v>-123.0862961</v>
      </c>
      <c r="M69">
        <v>1034.139038</v>
      </c>
      <c r="N69">
        <f t="shared" si="4"/>
        <v>1157.2253341000001</v>
      </c>
      <c r="P69" s="83">
        <v>1</v>
      </c>
    </row>
    <row r="70" spans="1:16">
      <c r="A70" s="2">
        <v>46031</v>
      </c>
      <c r="B70" t="s">
        <v>44</v>
      </c>
      <c r="C70">
        <v>64065</v>
      </c>
      <c r="D70">
        <v>1589</v>
      </c>
      <c r="E70" t="s">
        <v>99</v>
      </c>
      <c r="F70" t="s">
        <v>46</v>
      </c>
      <c r="H70" t="s">
        <v>54</v>
      </c>
      <c r="J70" t="s">
        <v>50</v>
      </c>
      <c r="K70" s="83">
        <v>6</v>
      </c>
      <c r="L70">
        <v>-51.21430969</v>
      </c>
      <c r="M70">
        <v>681.73138429999995</v>
      </c>
      <c r="N70">
        <f t="shared" si="4"/>
        <v>732.94569399</v>
      </c>
      <c r="P70" s="83">
        <v>1</v>
      </c>
    </row>
    <row r="71" spans="1:16">
      <c r="A71" s="2">
        <v>46031</v>
      </c>
      <c r="B71" t="s">
        <v>44</v>
      </c>
      <c r="C71">
        <v>64065</v>
      </c>
      <c r="D71">
        <v>1590</v>
      </c>
      <c r="E71" t="s">
        <v>142</v>
      </c>
      <c r="F71" t="s">
        <v>46</v>
      </c>
      <c r="H71" t="s">
        <v>54</v>
      </c>
      <c r="I71" t="s">
        <v>155</v>
      </c>
      <c r="J71" t="s">
        <v>50</v>
      </c>
      <c r="K71" s="83">
        <v>2</v>
      </c>
      <c r="L71">
        <v>-1.547159553</v>
      </c>
      <c r="M71">
        <v>427.71560670000002</v>
      </c>
      <c r="N71">
        <f t="shared" si="4"/>
        <v>429.262766253</v>
      </c>
      <c r="P71" s="83">
        <v>1</v>
      </c>
    </row>
    <row r="72" spans="1:16">
      <c r="A72" s="2">
        <v>46031</v>
      </c>
      <c r="B72" t="s">
        <v>69</v>
      </c>
      <c r="C72">
        <v>64066</v>
      </c>
      <c r="D72">
        <v>1591</v>
      </c>
      <c r="E72" t="s">
        <v>99</v>
      </c>
      <c r="F72" t="s">
        <v>46</v>
      </c>
      <c r="H72" t="s">
        <v>48</v>
      </c>
      <c r="I72" t="s">
        <v>153</v>
      </c>
      <c r="J72" t="s">
        <v>50</v>
      </c>
      <c r="K72" s="83">
        <v>4</v>
      </c>
      <c r="L72">
        <v>30.529476169999999</v>
      </c>
      <c r="M72">
        <v>413.08279420000002</v>
      </c>
      <c r="N72">
        <f t="shared" si="4"/>
        <v>382.55331803000001</v>
      </c>
      <c r="P72" s="83">
        <v>1</v>
      </c>
    </row>
    <row r="73" spans="1:16">
      <c r="A73" s="2">
        <v>46035</v>
      </c>
      <c r="B73" t="s">
        <v>44</v>
      </c>
      <c r="C73">
        <v>64059</v>
      </c>
      <c r="D73">
        <v>1592</v>
      </c>
      <c r="E73" t="s">
        <v>99</v>
      </c>
      <c r="F73" t="s">
        <v>65</v>
      </c>
      <c r="H73" t="s">
        <v>54</v>
      </c>
      <c r="I73" t="s">
        <v>156</v>
      </c>
      <c r="J73" t="s">
        <v>50</v>
      </c>
      <c r="K73" s="83">
        <v>8</v>
      </c>
      <c r="L73">
        <v>-90.353538510000007</v>
      </c>
      <c r="M73">
        <v>490.42529300000001</v>
      </c>
      <c r="N73">
        <f t="shared" si="4"/>
        <v>580.77883151000003</v>
      </c>
      <c r="P73" s="83">
        <v>1</v>
      </c>
    </row>
    <row r="74" spans="1:16">
      <c r="A74" s="2">
        <v>46035</v>
      </c>
      <c r="B74" t="s">
        <v>44</v>
      </c>
      <c r="C74">
        <v>64059</v>
      </c>
      <c r="D74">
        <v>1593</v>
      </c>
      <c r="E74" t="s">
        <v>142</v>
      </c>
      <c r="F74" t="s">
        <v>65</v>
      </c>
      <c r="H74" t="s">
        <v>54</v>
      </c>
      <c r="I74" t="s">
        <v>157</v>
      </c>
      <c r="J74" t="s">
        <v>50</v>
      </c>
      <c r="K74" s="83">
        <v>4</v>
      </c>
      <c r="L74">
        <v>-100.16218569999999</v>
      </c>
      <c r="M74">
        <v>581.61810300000002</v>
      </c>
      <c r="N74">
        <f t="shared" si="4"/>
        <v>681.78028870000003</v>
      </c>
      <c r="P74" s="83">
        <v>1</v>
      </c>
    </row>
    <row r="75" spans="1:16">
      <c r="A75" s="2">
        <v>46035</v>
      </c>
      <c r="B75" t="s">
        <v>158</v>
      </c>
      <c r="C75">
        <v>64059</v>
      </c>
      <c r="D75" s="19">
        <v>1594</v>
      </c>
      <c r="F75" t="s">
        <v>65</v>
      </c>
      <c r="H75" t="s">
        <v>54</v>
      </c>
      <c r="J75" t="s">
        <v>50</v>
      </c>
      <c r="K75" s="83">
        <v>2</v>
      </c>
      <c r="L75">
        <v>-8.5289039609999993</v>
      </c>
      <c r="M75">
        <v>118.64295199999999</v>
      </c>
      <c r="N75">
        <f t="shared" si="4"/>
        <v>127.17185596099999</v>
      </c>
      <c r="P75" s="83">
        <v>1</v>
      </c>
    </row>
    <row r="76" spans="1:16">
      <c r="A76" s="2">
        <v>46035</v>
      </c>
      <c r="B76" t="s">
        <v>44</v>
      </c>
      <c r="C76">
        <v>64060</v>
      </c>
      <c r="D76">
        <v>1595</v>
      </c>
      <c r="E76" t="s">
        <v>159</v>
      </c>
      <c r="F76" t="s">
        <v>65</v>
      </c>
      <c r="H76" t="s">
        <v>48</v>
      </c>
      <c r="I76" t="s">
        <v>160</v>
      </c>
      <c r="J76" t="s">
        <v>50</v>
      </c>
      <c r="K76" s="83">
        <v>4</v>
      </c>
      <c r="L76">
        <v>-35.845378879999998</v>
      </c>
      <c r="M76">
        <v>544.95007320000002</v>
      </c>
      <c r="N76">
        <f t="shared" si="4"/>
        <v>580.79545208000002</v>
      </c>
      <c r="P76" s="83">
        <v>1</v>
      </c>
    </row>
    <row r="77" spans="1:16">
      <c r="A77" s="2">
        <v>46036</v>
      </c>
      <c r="B77" t="s">
        <v>44</v>
      </c>
      <c r="C77">
        <v>64057</v>
      </c>
      <c r="D77">
        <v>1596</v>
      </c>
      <c r="E77" t="s">
        <v>107</v>
      </c>
      <c r="F77" t="s">
        <v>65</v>
      </c>
      <c r="H77" t="s">
        <v>48</v>
      </c>
      <c r="I77" t="s">
        <v>161</v>
      </c>
      <c r="J77" t="s">
        <v>50</v>
      </c>
      <c r="K77" s="83">
        <v>3</v>
      </c>
      <c r="L77">
        <v>-26.068311690000002</v>
      </c>
      <c r="M77">
        <v>631.30694579999999</v>
      </c>
      <c r="N77">
        <f t="shared" si="4"/>
        <v>657.37525748999997</v>
      </c>
      <c r="P77" s="83">
        <v>1</v>
      </c>
    </row>
    <row r="78" spans="1:16">
      <c r="A78" s="2">
        <v>46036</v>
      </c>
      <c r="B78" t="s">
        <v>44</v>
      </c>
      <c r="C78">
        <v>64057</v>
      </c>
      <c r="D78">
        <v>1597</v>
      </c>
      <c r="E78" t="s">
        <v>116</v>
      </c>
      <c r="F78" t="s">
        <v>65</v>
      </c>
      <c r="H78" t="s">
        <v>48</v>
      </c>
      <c r="I78" t="s">
        <v>162</v>
      </c>
      <c r="J78" t="s">
        <v>50</v>
      </c>
      <c r="K78" s="83">
        <v>4</v>
      </c>
      <c r="L78">
        <v>-1.527023077</v>
      </c>
      <c r="M78">
        <v>681.41839600000003</v>
      </c>
      <c r="N78">
        <f t="shared" si="4"/>
        <v>682.945419077</v>
      </c>
      <c r="P78" s="83">
        <v>1</v>
      </c>
    </row>
    <row r="79" spans="1:16">
      <c r="A79" s="2">
        <v>46036</v>
      </c>
      <c r="B79" t="s">
        <v>44</v>
      </c>
      <c r="C79">
        <v>64058</v>
      </c>
      <c r="D79" s="19">
        <v>1598</v>
      </c>
      <c r="E79" t="s">
        <v>163</v>
      </c>
      <c r="F79" t="s">
        <v>65</v>
      </c>
      <c r="H79" t="s">
        <v>54</v>
      </c>
      <c r="I79" t="s">
        <v>164</v>
      </c>
      <c r="J79" t="s">
        <v>50</v>
      </c>
      <c r="K79" s="83">
        <v>2</v>
      </c>
      <c r="L79">
        <v>-26.046497339999998</v>
      </c>
      <c r="M79">
        <v>302.43701170000003</v>
      </c>
      <c r="N79">
        <f t="shared" si="4"/>
        <v>328.48350904</v>
      </c>
      <c r="P79" s="83">
        <v>1</v>
      </c>
    </row>
    <row r="80" spans="1:16">
      <c r="A80" s="2">
        <v>46036</v>
      </c>
      <c r="B80" t="s">
        <v>44</v>
      </c>
      <c r="C80">
        <v>64058</v>
      </c>
      <c r="D80">
        <v>1599</v>
      </c>
      <c r="E80" t="s">
        <v>165</v>
      </c>
      <c r="F80" t="s">
        <v>65</v>
      </c>
      <c r="H80" t="s">
        <v>54</v>
      </c>
      <c r="I80" t="s">
        <v>166</v>
      </c>
      <c r="J80" t="s">
        <v>50</v>
      </c>
      <c r="K80" s="83">
        <v>4</v>
      </c>
      <c r="L80">
        <v>-26.02697182</v>
      </c>
      <c r="M80">
        <v>352.73626710000002</v>
      </c>
      <c r="N80">
        <f t="shared" si="4"/>
        <v>378.76323892000005</v>
      </c>
      <c r="P80" s="83">
        <v>1</v>
      </c>
    </row>
    <row r="81" spans="1:18">
      <c r="A81" s="2">
        <v>46036</v>
      </c>
      <c r="B81" t="s">
        <v>44</v>
      </c>
      <c r="C81">
        <v>64058</v>
      </c>
      <c r="D81">
        <v>1600</v>
      </c>
      <c r="E81" t="s">
        <v>167</v>
      </c>
      <c r="F81" t="s">
        <v>65</v>
      </c>
      <c r="H81" t="s">
        <v>54</v>
      </c>
      <c r="I81" t="s">
        <v>168</v>
      </c>
      <c r="J81" t="s">
        <v>50</v>
      </c>
      <c r="K81" s="83">
        <v>5</v>
      </c>
      <c r="L81">
        <v>-21.143854139999998</v>
      </c>
      <c r="M81">
        <v>231.4484406</v>
      </c>
      <c r="N81">
        <f t="shared" si="4"/>
        <v>252.59229474</v>
      </c>
      <c r="P81" s="83">
        <v>1</v>
      </c>
    </row>
    <row r="82" spans="1:18" s="50" customFormat="1">
      <c r="A82" s="98">
        <v>46037</v>
      </c>
      <c r="B82" s="99" t="s">
        <v>158</v>
      </c>
      <c r="C82" s="99">
        <v>64067</v>
      </c>
      <c r="D82">
        <v>1601</v>
      </c>
      <c r="E82" s="99"/>
      <c r="F82" s="99" t="s">
        <v>46</v>
      </c>
      <c r="G82" s="99"/>
      <c r="H82" s="99" t="s">
        <v>54</v>
      </c>
      <c r="I82" s="99"/>
      <c r="J82" s="99" t="s">
        <v>50</v>
      </c>
      <c r="K82" s="83">
        <v>9</v>
      </c>
      <c r="L82" s="99">
        <v>-111.6694717</v>
      </c>
      <c r="M82" s="99">
        <v>754.48840329999996</v>
      </c>
      <c r="N82" s="99">
        <f t="shared" si="4"/>
        <v>866.15787499999999</v>
      </c>
      <c r="O82" s="99"/>
      <c r="P82" s="83">
        <v>1</v>
      </c>
    </row>
    <row r="83" spans="1:18" s="50" customFormat="1">
      <c r="A83" s="97">
        <v>46037</v>
      </c>
      <c r="B83" s="50" t="s">
        <v>69</v>
      </c>
      <c r="C83" s="50">
        <v>64067</v>
      </c>
      <c r="D83">
        <v>1602</v>
      </c>
      <c r="E83" s="50" t="s">
        <v>93</v>
      </c>
      <c r="F83" s="50" t="s">
        <v>46</v>
      </c>
      <c r="H83" s="50" t="s">
        <v>54</v>
      </c>
      <c r="I83" s="50" t="s">
        <v>169</v>
      </c>
      <c r="J83" s="50" t="s">
        <v>50</v>
      </c>
      <c r="K83" s="84">
        <v>6</v>
      </c>
      <c r="L83" s="50">
        <v>-1362.611328</v>
      </c>
      <c r="M83" s="50">
        <v>-996.62585449999995</v>
      </c>
      <c r="N83" s="50">
        <f t="shared" si="4"/>
        <v>365.98547350000001</v>
      </c>
      <c r="O83" s="100">
        <v>575</v>
      </c>
      <c r="P83" s="84">
        <v>1</v>
      </c>
    </row>
    <row r="84" spans="1:18" s="50" customFormat="1">
      <c r="A84" s="97">
        <v>46037</v>
      </c>
      <c r="B84" s="50" t="s">
        <v>69</v>
      </c>
      <c r="C84" s="50">
        <v>64068</v>
      </c>
      <c r="D84">
        <v>1603</v>
      </c>
      <c r="E84" s="50" t="s">
        <v>170</v>
      </c>
      <c r="F84" s="50" t="s">
        <v>46</v>
      </c>
      <c r="H84" s="50" t="s">
        <v>48</v>
      </c>
      <c r="I84" s="50" t="s">
        <v>171</v>
      </c>
      <c r="J84" s="50" t="s">
        <v>50</v>
      </c>
      <c r="K84" s="84">
        <v>6</v>
      </c>
      <c r="L84" s="50">
        <v>-1400.2901609999999</v>
      </c>
      <c r="M84" s="50">
        <v>-961.44458010000005</v>
      </c>
      <c r="N84" s="50">
        <f t="shared" si="4"/>
        <v>438.84558089999985</v>
      </c>
      <c r="O84" s="100">
        <v>525</v>
      </c>
      <c r="P84" s="84">
        <v>1</v>
      </c>
      <c r="R84" s="50" t="s">
        <v>266</v>
      </c>
    </row>
    <row r="85" spans="1:18">
      <c r="A85" s="97">
        <v>46037</v>
      </c>
      <c r="B85" s="50" t="s">
        <v>69</v>
      </c>
      <c r="C85" s="50">
        <v>64068</v>
      </c>
      <c r="D85">
        <v>1604</v>
      </c>
      <c r="E85" s="50" t="s">
        <v>172</v>
      </c>
      <c r="F85" s="50" t="s">
        <v>46</v>
      </c>
      <c r="G85" s="50"/>
      <c r="H85" s="50" t="s">
        <v>48</v>
      </c>
      <c r="I85" s="50" t="s">
        <v>173</v>
      </c>
      <c r="J85" s="50" t="s">
        <v>50</v>
      </c>
      <c r="K85" s="84">
        <v>5</v>
      </c>
      <c r="L85" s="50">
        <v>-1362.13501</v>
      </c>
      <c r="M85" s="50">
        <v>-928.23516849999999</v>
      </c>
      <c r="N85" s="50">
        <f t="shared" si="4"/>
        <v>433.89984149999998</v>
      </c>
      <c r="O85" s="100">
        <v>600</v>
      </c>
      <c r="P85" s="84">
        <v>1</v>
      </c>
      <c r="R85" s="50" t="s">
        <v>267</v>
      </c>
    </row>
    <row r="86" spans="1:18">
      <c r="A86" s="2">
        <v>46038</v>
      </c>
      <c r="B86" t="s">
        <v>90</v>
      </c>
      <c r="C86">
        <v>64061</v>
      </c>
      <c r="D86">
        <v>1605</v>
      </c>
      <c r="E86" t="s">
        <v>174</v>
      </c>
      <c r="F86" t="s">
        <v>65</v>
      </c>
      <c r="H86" t="s">
        <v>48</v>
      </c>
      <c r="I86" t="s">
        <v>175</v>
      </c>
      <c r="J86" t="s">
        <v>50</v>
      </c>
      <c r="K86" s="83">
        <v>2</v>
      </c>
      <c r="L86">
        <v>-120.38555150000001</v>
      </c>
      <c r="M86">
        <v>1118.743164</v>
      </c>
      <c r="N86">
        <f t="shared" si="4"/>
        <v>1239.1287155</v>
      </c>
      <c r="P86" s="83">
        <v>1</v>
      </c>
    </row>
    <row r="87" spans="1:18">
      <c r="A87" s="2">
        <v>46038</v>
      </c>
      <c r="B87" t="s">
        <v>44</v>
      </c>
      <c r="C87">
        <v>64061</v>
      </c>
      <c r="D87">
        <v>1606</v>
      </c>
      <c r="E87" t="s">
        <v>176</v>
      </c>
      <c r="F87" t="s">
        <v>65</v>
      </c>
      <c r="H87" t="s">
        <v>48</v>
      </c>
      <c r="I87" t="s">
        <v>151</v>
      </c>
      <c r="J87" t="s">
        <v>50</v>
      </c>
      <c r="K87" s="83">
        <v>6</v>
      </c>
      <c r="L87">
        <v>-15.841834070000001</v>
      </c>
      <c r="M87">
        <v>267.31832889999998</v>
      </c>
      <c r="N87">
        <f t="shared" si="4"/>
        <v>283.16016296999999</v>
      </c>
      <c r="P87" s="83">
        <v>1</v>
      </c>
    </row>
    <row r="88" spans="1:18">
      <c r="A88" s="2">
        <v>46038</v>
      </c>
      <c r="B88" t="s">
        <v>90</v>
      </c>
      <c r="C88">
        <v>64061</v>
      </c>
      <c r="D88">
        <v>1607</v>
      </c>
      <c r="E88" t="s">
        <v>177</v>
      </c>
      <c r="F88" t="s">
        <v>65</v>
      </c>
      <c r="H88" t="s">
        <v>48</v>
      </c>
      <c r="J88" t="s">
        <v>50</v>
      </c>
      <c r="K88" s="83">
        <v>5</v>
      </c>
      <c r="L88">
        <v>-70.847457890000001</v>
      </c>
      <c r="M88">
        <v>1546.865601</v>
      </c>
      <c r="N88">
        <f t="shared" si="4"/>
        <v>1617.71305889</v>
      </c>
      <c r="P88" s="83">
        <v>1</v>
      </c>
    </row>
    <row r="89" spans="1:18">
      <c r="A89" s="2">
        <v>46038</v>
      </c>
      <c r="B89" t="s">
        <v>90</v>
      </c>
      <c r="C89">
        <v>64062</v>
      </c>
      <c r="D89">
        <v>1608</v>
      </c>
      <c r="E89" t="s">
        <v>178</v>
      </c>
      <c r="F89" t="s">
        <v>65</v>
      </c>
      <c r="H89" t="s">
        <v>54</v>
      </c>
      <c r="J89" t="s">
        <v>50</v>
      </c>
      <c r="K89" s="83">
        <v>5</v>
      </c>
      <c r="L89">
        <v>-41.463176730000001</v>
      </c>
      <c r="M89">
        <v>767.71270749999996</v>
      </c>
      <c r="N89">
        <f t="shared" si="4"/>
        <v>809.17588422999995</v>
      </c>
      <c r="P89" s="83">
        <v>1</v>
      </c>
    </row>
    <row r="90" spans="1:18">
      <c r="A90" s="2">
        <v>46038</v>
      </c>
      <c r="B90" t="s">
        <v>44</v>
      </c>
      <c r="C90">
        <v>64062</v>
      </c>
      <c r="D90">
        <v>1609</v>
      </c>
      <c r="E90" t="s">
        <v>142</v>
      </c>
      <c r="F90" t="s">
        <v>65</v>
      </c>
      <c r="H90" t="s">
        <v>54</v>
      </c>
      <c r="J90" t="s">
        <v>50</v>
      </c>
      <c r="K90" s="83">
        <v>3</v>
      </c>
      <c r="L90">
        <v>8.1975660319999992</v>
      </c>
      <c r="M90">
        <v>368.88708500000001</v>
      </c>
      <c r="N90">
        <f t="shared" si="4"/>
        <v>360.68951896800002</v>
      </c>
      <c r="P90" s="83">
        <v>1</v>
      </c>
    </row>
    <row r="91" spans="1:18">
      <c r="A91" s="2">
        <v>46038</v>
      </c>
      <c r="B91" t="s">
        <v>90</v>
      </c>
      <c r="C91">
        <v>64062</v>
      </c>
      <c r="D91" s="19">
        <v>1610</v>
      </c>
      <c r="E91" t="s">
        <v>179</v>
      </c>
      <c r="F91" t="s">
        <v>65</v>
      </c>
      <c r="H91" t="s">
        <v>54</v>
      </c>
      <c r="J91" t="s">
        <v>50</v>
      </c>
      <c r="K91" s="83">
        <v>1</v>
      </c>
      <c r="L91">
        <v>-218.8516846</v>
      </c>
      <c r="M91">
        <v>-92.022232059999993</v>
      </c>
      <c r="N91">
        <f t="shared" si="4"/>
        <v>126.82945254000001</v>
      </c>
      <c r="P91" s="83">
        <v>1</v>
      </c>
    </row>
    <row r="92" spans="1:18">
      <c r="A92" s="2">
        <v>46038</v>
      </c>
      <c r="B92" t="s">
        <v>158</v>
      </c>
      <c r="C92">
        <v>64061</v>
      </c>
      <c r="D92" s="19">
        <v>1611</v>
      </c>
      <c r="F92" t="s">
        <v>65</v>
      </c>
      <c r="H92" t="s">
        <v>48</v>
      </c>
      <c r="J92" t="s">
        <v>50</v>
      </c>
      <c r="K92" s="83">
        <v>2</v>
      </c>
      <c r="L92">
        <v>-490.57177730000001</v>
      </c>
      <c r="M92">
        <v>-57.529548650000002</v>
      </c>
      <c r="N92">
        <f t="shared" si="4"/>
        <v>433.04222865000003</v>
      </c>
      <c r="P92" s="83">
        <v>1</v>
      </c>
    </row>
    <row r="93" spans="1:18">
      <c r="A93" s="2">
        <v>46038</v>
      </c>
      <c r="B93" t="s">
        <v>90</v>
      </c>
      <c r="C93">
        <v>64062</v>
      </c>
      <c r="D93" s="19">
        <v>1612</v>
      </c>
      <c r="E93" t="s">
        <v>181</v>
      </c>
      <c r="F93" t="s">
        <v>65</v>
      </c>
      <c r="H93" t="s">
        <v>54</v>
      </c>
      <c r="J93" t="s">
        <v>50</v>
      </c>
      <c r="K93" s="83">
        <v>9</v>
      </c>
      <c r="L93">
        <v>-1185.492798</v>
      </c>
      <c r="M93">
        <v>-73.038734439999999</v>
      </c>
      <c r="N93">
        <f t="shared" si="4"/>
        <v>1112.4540635599999</v>
      </c>
      <c r="P93" s="83">
        <v>1</v>
      </c>
    </row>
    <row r="94" spans="1:18">
      <c r="A94" s="2">
        <v>46038</v>
      </c>
      <c r="B94" t="s">
        <v>44</v>
      </c>
      <c r="C94">
        <v>64062</v>
      </c>
      <c r="D94" s="19">
        <v>1613</v>
      </c>
      <c r="F94" t="s">
        <v>65</v>
      </c>
      <c r="H94" t="s">
        <v>54</v>
      </c>
      <c r="I94" t="s">
        <v>182</v>
      </c>
      <c r="J94" t="s">
        <v>50</v>
      </c>
      <c r="K94" s="83">
        <v>2</v>
      </c>
      <c r="L94">
        <v>-15.845952990000001</v>
      </c>
      <c r="M94">
        <v>138.3619995</v>
      </c>
      <c r="N94">
        <f t="shared" si="4"/>
        <v>154.20795249</v>
      </c>
      <c r="P94" s="83">
        <v>1</v>
      </c>
    </row>
    <row r="95" spans="1:18">
      <c r="A95" s="2">
        <v>46042</v>
      </c>
      <c r="B95" t="s">
        <v>69</v>
      </c>
      <c r="C95">
        <v>64069</v>
      </c>
      <c r="D95" s="19">
        <v>1614</v>
      </c>
      <c r="E95" t="s">
        <v>140</v>
      </c>
      <c r="F95" t="s">
        <v>46</v>
      </c>
      <c r="H95" t="s">
        <v>54</v>
      </c>
      <c r="I95" t="s">
        <v>183</v>
      </c>
      <c r="J95" t="s">
        <v>80</v>
      </c>
      <c r="K95" s="83">
        <v>4</v>
      </c>
      <c r="L95">
        <v>-11.4328413</v>
      </c>
      <c r="M95">
        <v>469.09429929999999</v>
      </c>
      <c r="N95">
        <f t="shared" si="4"/>
        <v>480.5271406</v>
      </c>
      <c r="P95" s="83">
        <v>2</v>
      </c>
    </row>
    <row r="96" spans="1:18">
      <c r="A96" s="2">
        <v>46042</v>
      </c>
      <c r="B96" t="s">
        <v>90</v>
      </c>
      <c r="C96">
        <v>64069</v>
      </c>
      <c r="D96">
        <v>1615</v>
      </c>
      <c r="E96" t="s">
        <v>140</v>
      </c>
      <c r="F96" t="s">
        <v>46</v>
      </c>
      <c r="H96" t="s">
        <v>54</v>
      </c>
      <c r="J96" t="s">
        <v>50</v>
      </c>
      <c r="K96" s="83">
        <v>2</v>
      </c>
      <c r="L96">
        <v>-6.1819262500000001</v>
      </c>
      <c r="M96">
        <v>225.8770294</v>
      </c>
      <c r="N96">
        <f t="shared" si="4"/>
        <v>232.05895565</v>
      </c>
      <c r="P96" s="83">
        <v>1</v>
      </c>
    </row>
    <row r="97" spans="1:16">
      <c r="A97" s="2">
        <v>46042</v>
      </c>
      <c r="B97" t="s">
        <v>90</v>
      </c>
      <c r="C97">
        <v>64069</v>
      </c>
      <c r="D97">
        <v>1616</v>
      </c>
      <c r="E97" t="s">
        <v>142</v>
      </c>
      <c r="F97" t="s">
        <v>46</v>
      </c>
      <c r="H97" t="s">
        <v>54</v>
      </c>
      <c r="J97" t="s">
        <v>50</v>
      </c>
      <c r="K97" s="83">
        <v>4</v>
      </c>
      <c r="L97">
        <v>-30.42055702</v>
      </c>
      <c r="M97">
        <v>355.75671390000002</v>
      </c>
      <c r="N97">
        <f t="shared" si="4"/>
        <v>386.17727092000001</v>
      </c>
      <c r="P97" s="83">
        <v>1</v>
      </c>
    </row>
    <row r="98" spans="1:16">
      <c r="A98" s="2">
        <v>46042</v>
      </c>
      <c r="B98" t="s">
        <v>90</v>
      </c>
      <c r="C98">
        <v>64069</v>
      </c>
      <c r="D98" s="19">
        <v>1617</v>
      </c>
      <c r="E98" t="s">
        <v>148</v>
      </c>
      <c r="F98" t="s">
        <v>46</v>
      </c>
      <c r="H98" t="s">
        <v>54</v>
      </c>
      <c r="J98" t="s">
        <v>50</v>
      </c>
      <c r="K98" s="83">
        <v>3</v>
      </c>
      <c r="L98">
        <v>-26.036123280000002</v>
      </c>
      <c r="M98">
        <v>125.8576202</v>
      </c>
      <c r="N98">
        <f t="shared" si="4"/>
        <v>151.89374348000001</v>
      </c>
      <c r="P98" s="83">
        <v>1</v>
      </c>
    </row>
    <row r="99" spans="1:16">
      <c r="A99" s="2">
        <v>46042</v>
      </c>
      <c r="B99" t="s">
        <v>90</v>
      </c>
      <c r="C99">
        <v>64070</v>
      </c>
      <c r="D99" s="19">
        <v>1618</v>
      </c>
      <c r="E99" t="s">
        <v>184</v>
      </c>
      <c r="F99" t="s">
        <v>46</v>
      </c>
      <c r="H99" t="s">
        <v>54</v>
      </c>
      <c r="I99" t="s">
        <v>185</v>
      </c>
      <c r="J99" t="s">
        <v>50</v>
      </c>
      <c r="K99" s="83">
        <v>5</v>
      </c>
      <c r="L99">
        <v>-44.882274629999998</v>
      </c>
      <c r="M99">
        <v>469.92376710000002</v>
      </c>
      <c r="N99">
        <f t="shared" si="4"/>
        <v>514.80604173000006</v>
      </c>
      <c r="P99" s="83">
        <v>1</v>
      </c>
    </row>
    <row r="100" spans="1:16">
      <c r="A100" s="2">
        <v>46042</v>
      </c>
      <c r="B100" t="s">
        <v>90</v>
      </c>
      <c r="C100">
        <v>64070</v>
      </c>
      <c r="D100">
        <v>1619</v>
      </c>
      <c r="E100" t="s">
        <v>186</v>
      </c>
      <c r="F100" t="s">
        <v>46</v>
      </c>
      <c r="H100" t="s">
        <v>48</v>
      </c>
      <c r="I100" t="s">
        <v>187</v>
      </c>
      <c r="J100" t="s">
        <v>50</v>
      </c>
      <c r="K100" s="83">
        <v>3</v>
      </c>
      <c r="L100">
        <v>-6.1353983879999996</v>
      </c>
      <c r="M100">
        <v>972.52478029999997</v>
      </c>
      <c r="N100">
        <f t="shared" si="4"/>
        <v>978.66017868799997</v>
      </c>
      <c r="P100" s="83">
        <v>1</v>
      </c>
    </row>
    <row r="101" spans="1:16">
      <c r="A101" s="2">
        <v>46043</v>
      </c>
      <c r="B101" t="s">
        <v>90</v>
      </c>
      <c r="C101">
        <v>64290</v>
      </c>
      <c r="D101">
        <v>1620</v>
      </c>
      <c r="E101" t="s">
        <v>188</v>
      </c>
      <c r="F101" t="s">
        <v>46</v>
      </c>
      <c r="H101" t="s">
        <v>48</v>
      </c>
      <c r="J101" t="s">
        <v>50</v>
      </c>
      <c r="K101" s="83">
        <v>4</v>
      </c>
      <c r="L101">
        <v>-20.678730009999999</v>
      </c>
      <c r="M101">
        <v>1190.435913</v>
      </c>
      <c r="N101">
        <f t="shared" si="4"/>
        <v>1211.11464301</v>
      </c>
      <c r="P101" s="83">
        <v>1</v>
      </c>
    </row>
    <row r="102" spans="1:16">
      <c r="A102" s="2">
        <v>46043</v>
      </c>
      <c r="B102" t="s">
        <v>44</v>
      </c>
      <c r="C102">
        <v>64290</v>
      </c>
      <c r="D102">
        <v>1621</v>
      </c>
      <c r="E102" t="s">
        <v>189</v>
      </c>
      <c r="F102" t="s">
        <v>46</v>
      </c>
      <c r="H102" t="s">
        <v>48</v>
      </c>
      <c r="I102" t="s">
        <v>190</v>
      </c>
      <c r="J102" t="s">
        <v>50</v>
      </c>
      <c r="K102" s="83">
        <v>4</v>
      </c>
      <c r="L102">
        <v>-75.666816710000006</v>
      </c>
      <c r="M102">
        <v>1617.541138</v>
      </c>
      <c r="N102">
        <f t="shared" si="4"/>
        <v>1693.20795471</v>
      </c>
      <c r="P102" s="83">
        <v>1</v>
      </c>
    </row>
    <row r="103" spans="1:16">
      <c r="A103" s="2">
        <v>46043</v>
      </c>
      <c r="B103" t="s">
        <v>90</v>
      </c>
      <c r="C103">
        <v>64290</v>
      </c>
      <c r="D103" s="19">
        <v>1622</v>
      </c>
      <c r="E103" t="s">
        <v>191</v>
      </c>
      <c r="F103" t="s">
        <v>46</v>
      </c>
      <c r="H103" t="s">
        <v>48</v>
      </c>
      <c r="J103" t="s">
        <v>50</v>
      </c>
      <c r="K103" s="83">
        <v>5</v>
      </c>
      <c r="L103">
        <v>-152.11560059999999</v>
      </c>
      <c r="M103">
        <v>260.26016240000001</v>
      </c>
      <c r="N103">
        <f t="shared" si="4"/>
        <v>412.37576300000001</v>
      </c>
      <c r="P103" s="83">
        <v>1</v>
      </c>
    </row>
    <row r="104" spans="1:16">
      <c r="A104" s="2">
        <v>46043</v>
      </c>
      <c r="B104" t="s">
        <v>44</v>
      </c>
      <c r="C104">
        <v>64290</v>
      </c>
      <c r="D104">
        <v>1623</v>
      </c>
      <c r="E104" t="s">
        <v>107</v>
      </c>
      <c r="F104" t="s">
        <v>46</v>
      </c>
      <c r="H104" t="s">
        <v>48</v>
      </c>
      <c r="I104" t="s">
        <v>192</v>
      </c>
      <c r="J104" t="s">
        <v>50</v>
      </c>
      <c r="K104" s="83">
        <v>7</v>
      </c>
      <c r="L104">
        <v>-125.27370449999999</v>
      </c>
      <c r="M104">
        <v>532.33612059999996</v>
      </c>
      <c r="N104">
        <f t="shared" si="4"/>
        <v>657.60982509999997</v>
      </c>
      <c r="P104" s="83">
        <v>1</v>
      </c>
    </row>
    <row r="105" spans="1:16">
      <c r="A105" s="2">
        <v>46043</v>
      </c>
      <c r="B105" t="s">
        <v>44</v>
      </c>
      <c r="C105">
        <v>64290</v>
      </c>
      <c r="D105">
        <v>1624</v>
      </c>
      <c r="E105" t="s">
        <v>116</v>
      </c>
      <c r="F105" t="s">
        <v>46</v>
      </c>
      <c r="H105" t="s">
        <v>48</v>
      </c>
      <c r="I105" t="s">
        <v>193</v>
      </c>
      <c r="J105" t="s">
        <v>50</v>
      </c>
      <c r="K105" s="83">
        <v>3</v>
      </c>
      <c r="L105">
        <v>-75.68450928</v>
      </c>
      <c r="M105">
        <v>682.98339840000006</v>
      </c>
      <c r="N105">
        <f t="shared" si="4"/>
        <v>758.6679076800001</v>
      </c>
      <c r="P105" s="83">
        <v>1</v>
      </c>
    </row>
    <row r="106" spans="1:16">
      <c r="A106" s="2">
        <v>46043</v>
      </c>
      <c r="B106" t="s">
        <v>90</v>
      </c>
      <c r="C106">
        <v>64291</v>
      </c>
      <c r="D106" s="19">
        <v>1625</v>
      </c>
      <c r="E106" t="s">
        <v>194</v>
      </c>
      <c r="F106" t="s">
        <v>46</v>
      </c>
      <c r="H106" t="s">
        <v>54</v>
      </c>
      <c r="J106" t="s">
        <v>50</v>
      </c>
      <c r="K106" s="83">
        <v>4</v>
      </c>
      <c r="L106">
        <v>-395.05230710000001</v>
      </c>
      <c r="M106">
        <v>-8.4979715349999996</v>
      </c>
      <c r="N106">
        <f t="shared" si="4"/>
        <v>386.55433556500003</v>
      </c>
      <c r="P106" s="83">
        <v>1</v>
      </c>
    </row>
    <row r="107" spans="1:16">
      <c r="A107" s="2">
        <v>46043</v>
      </c>
      <c r="B107" t="s">
        <v>44</v>
      </c>
      <c r="C107">
        <v>64291</v>
      </c>
      <c r="D107">
        <v>1626</v>
      </c>
      <c r="E107" t="s">
        <v>117</v>
      </c>
      <c r="F107" t="s">
        <v>46</v>
      </c>
      <c r="H107" t="s">
        <v>54</v>
      </c>
      <c r="I107" t="s">
        <v>195</v>
      </c>
      <c r="J107" t="s">
        <v>50</v>
      </c>
      <c r="K107" s="83">
        <v>3</v>
      </c>
      <c r="L107">
        <v>-125.27828220000001</v>
      </c>
      <c r="M107">
        <v>1138.650024</v>
      </c>
      <c r="N107">
        <f t="shared" si="4"/>
        <v>1263.9283062</v>
      </c>
      <c r="P107" s="83">
        <v>1</v>
      </c>
    </row>
    <row r="108" spans="1:16">
      <c r="A108" s="2">
        <v>46043</v>
      </c>
      <c r="B108" t="s">
        <v>90</v>
      </c>
      <c r="C108">
        <v>64291</v>
      </c>
      <c r="D108">
        <v>1627</v>
      </c>
      <c r="E108" t="s">
        <v>196</v>
      </c>
      <c r="F108" t="s">
        <v>46</v>
      </c>
      <c r="H108" t="s">
        <v>54</v>
      </c>
      <c r="J108" t="s">
        <v>50</v>
      </c>
      <c r="K108" s="83">
        <v>3</v>
      </c>
      <c r="L108">
        <v>-35.280944820000002</v>
      </c>
      <c r="M108">
        <v>273.78179929999999</v>
      </c>
      <c r="N108">
        <f t="shared" si="4"/>
        <v>309.06274411999999</v>
      </c>
      <c r="P108" s="83">
        <v>1</v>
      </c>
    </row>
    <row r="109" spans="1:16">
      <c r="A109" s="2">
        <v>46044</v>
      </c>
      <c r="B109" t="s">
        <v>44</v>
      </c>
      <c r="C109">
        <v>64282</v>
      </c>
      <c r="D109">
        <v>1628</v>
      </c>
      <c r="E109" t="s">
        <v>197</v>
      </c>
      <c r="F109" t="s">
        <v>65</v>
      </c>
      <c r="H109" t="s">
        <v>54</v>
      </c>
      <c r="I109" t="s">
        <v>198</v>
      </c>
      <c r="J109" t="s">
        <v>50</v>
      </c>
      <c r="K109" s="83">
        <v>5</v>
      </c>
      <c r="L109">
        <v>-125.3900986</v>
      </c>
      <c r="M109">
        <v>127.79822540000001</v>
      </c>
      <c r="N109">
        <f t="shared" si="4"/>
        <v>253.18832400000002</v>
      </c>
      <c r="P109" s="83">
        <v>1</v>
      </c>
    </row>
    <row r="110" spans="1:16">
      <c r="A110" s="2">
        <v>46044</v>
      </c>
      <c r="B110" t="s">
        <v>90</v>
      </c>
      <c r="C110">
        <v>64282</v>
      </c>
      <c r="D110" s="19">
        <v>1629</v>
      </c>
      <c r="E110" t="s">
        <v>199</v>
      </c>
      <c r="F110" t="s">
        <v>65</v>
      </c>
      <c r="H110" t="s">
        <v>54</v>
      </c>
      <c r="J110" t="s">
        <v>50</v>
      </c>
      <c r="K110" s="83">
        <v>2</v>
      </c>
      <c r="L110">
        <v>-54.659950260000002</v>
      </c>
      <c r="M110">
        <v>176.9237061</v>
      </c>
      <c r="N110">
        <f t="shared" si="4"/>
        <v>231.58365636000002</v>
      </c>
      <c r="P110" s="83">
        <v>1</v>
      </c>
    </row>
    <row r="111" spans="1:16">
      <c r="A111" s="2">
        <v>46044</v>
      </c>
      <c r="B111" t="s">
        <v>90</v>
      </c>
      <c r="C111">
        <v>64283</v>
      </c>
      <c r="D111">
        <v>1630</v>
      </c>
      <c r="E111" t="s">
        <v>201</v>
      </c>
      <c r="F111" t="s">
        <v>65</v>
      </c>
      <c r="H111" t="s">
        <v>48</v>
      </c>
      <c r="I111" t="s">
        <v>202</v>
      </c>
      <c r="J111" t="s">
        <v>50</v>
      </c>
      <c r="K111" s="83">
        <v>3</v>
      </c>
      <c r="L111">
        <v>-35.235637660000002</v>
      </c>
      <c r="M111">
        <v>737.2890625</v>
      </c>
      <c r="N111">
        <f t="shared" si="4"/>
        <v>772.52470015999995</v>
      </c>
      <c r="P111" s="83">
        <v>1</v>
      </c>
    </row>
    <row r="112" spans="1:16">
      <c r="A112" s="2">
        <v>46044</v>
      </c>
      <c r="B112" t="s">
        <v>90</v>
      </c>
      <c r="C112">
        <v>64283</v>
      </c>
      <c r="D112">
        <v>1631</v>
      </c>
      <c r="E112" t="s">
        <v>203</v>
      </c>
      <c r="F112" t="s">
        <v>65</v>
      </c>
      <c r="H112" t="s">
        <v>48</v>
      </c>
      <c r="I112" t="s">
        <v>204</v>
      </c>
      <c r="J112" t="s">
        <v>50</v>
      </c>
      <c r="K112" s="83">
        <v>4</v>
      </c>
      <c r="L112">
        <v>-43.493766780000001</v>
      </c>
      <c r="M112">
        <v>338.83901980000002</v>
      </c>
      <c r="N112">
        <f t="shared" si="4"/>
        <v>382.33278658</v>
      </c>
      <c r="P112" s="83">
        <v>1</v>
      </c>
    </row>
    <row r="113" spans="1:16">
      <c r="A113" s="2">
        <v>46044</v>
      </c>
      <c r="B113" t="s">
        <v>90</v>
      </c>
      <c r="C113">
        <v>64283</v>
      </c>
      <c r="D113">
        <v>1632</v>
      </c>
      <c r="E113" t="s">
        <v>205</v>
      </c>
      <c r="F113" t="s">
        <v>65</v>
      </c>
      <c r="H113" t="s">
        <v>48</v>
      </c>
      <c r="I113" t="s">
        <v>206</v>
      </c>
      <c r="J113" t="s">
        <v>50</v>
      </c>
      <c r="K113" s="83">
        <v>6</v>
      </c>
      <c r="L113">
        <v>-44.922393800000002</v>
      </c>
      <c r="M113">
        <v>701.9981689</v>
      </c>
      <c r="N113">
        <f t="shared" si="4"/>
        <v>746.9205627</v>
      </c>
      <c r="P113" s="83">
        <v>1</v>
      </c>
    </row>
    <row r="114" spans="1:16">
      <c r="A114" s="2">
        <v>46045</v>
      </c>
      <c r="B114" t="s">
        <v>69</v>
      </c>
      <c r="C114">
        <v>64292</v>
      </c>
      <c r="D114" s="19">
        <v>1633</v>
      </c>
      <c r="E114" t="s">
        <v>207</v>
      </c>
      <c r="F114" t="s">
        <v>46</v>
      </c>
      <c r="H114" t="s">
        <v>54</v>
      </c>
      <c r="I114" t="s">
        <v>208</v>
      </c>
      <c r="J114" t="s">
        <v>50</v>
      </c>
      <c r="K114" s="83">
        <v>3</v>
      </c>
      <c r="L114">
        <v>-139.89331050000001</v>
      </c>
      <c r="M114">
        <v>62.756660459999999</v>
      </c>
      <c r="N114">
        <f t="shared" si="4"/>
        <v>202.64997096000002</v>
      </c>
      <c r="P114" s="83">
        <v>1</v>
      </c>
    </row>
    <row r="115" spans="1:16">
      <c r="A115" s="2">
        <v>46045</v>
      </c>
      <c r="B115" t="s">
        <v>90</v>
      </c>
      <c r="C115">
        <v>64293</v>
      </c>
      <c r="D115">
        <v>1634</v>
      </c>
      <c r="E115" t="s">
        <v>210</v>
      </c>
      <c r="F115" t="s">
        <v>46</v>
      </c>
      <c r="H115" t="s">
        <v>48</v>
      </c>
      <c r="J115" t="s">
        <v>50</v>
      </c>
      <c r="K115" s="83">
        <v>5</v>
      </c>
      <c r="L115">
        <v>-13.961658480000001</v>
      </c>
      <c r="M115">
        <v>501.39599609999999</v>
      </c>
      <c r="N115">
        <f t="shared" si="4"/>
        <v>515.35765458000003</v>
      </c>
      <c r="P115" s="83">
        <v>1</v>
      </c>
    </row>
    <row r="116" spans="1:16">
      <c r="A116" s="2">
        <v>46045</v>
      </c>
      <c r="B116" t="s">
        <v>90</v>
      </c>
      <c r="C116">
        <v>64293</v>
      </c>
      <c r="D116">
        <v>1635</v>
      </c>
      <c r="E116" t="s">
        <v>211</v>
      </c>
      <c r="F116" t="s">
        <v>46</v>
      </c>
      <c r="H116" t="s">
        <v>48</v>
      </c>
      <c r="I116" t="s">
        <v>212</v>
      </c>
      <c r="J116" t="s">
        <v>50</v>
      </c>
      <c r="K116" s="83">
        <v>3</v>
      </c>
      <c r="L116">
        <v>-44.92636108</v>
      </c>
      <c r="M116">
        <v>418.30990600000001</v>
      </c>
      <c r="N116">
        <f t="shared" si="4"/>
        <v>463.23626708</v>
      </c>
      <c r="P116" s="83">
        <v>1</v>
      </c>
    </row>
    <row r="117" spans="1:16">
      <c r="A117" s="2">
        <v>46049</v>
      </c>
      <c r="B117" t="s">
        <v>90</v>
      </c>
      <c r="C117">
        <v>64284</v>
      </c>
      <c r="D117">
        <v>1636</v>
      </c>
      <c r="E117" t="s">
        <v>140</v>
      </c>
      <c r="F117" t="s">
        <v>65</v>
      </c>
      <c r="H117" t="s">
        <v>54</v>
      </c>
      <c r="J117" t="s">
        <v>50</v>
      </c>
      <c r="K117" s="83">
        <v>3</v>
      </c>
      <c r="L117">
        <v>-30.302330019999999</v>
      </c>
      <c r="M117">
        <v>329.65243529999998</v>
      </c>
      <c r="N117">
        <f t="shared" si="4"/>
        <v>359.95476531999998</v>
      </c>
      <c r="P117" s="83">
        <v>1</v>
      </c>
    </row>
    <row r="118" spans="1:16">
      <c r="A118" s="2">
        <v>46049</v>
      </c>
      <c r="B118" t="s">
        <v>90</v>
      </c>
      <c r="C118">
        <v>64284</v>
      </c>
      <c r="D118">
        <v>1637</v>
      </c>
      <c r="E118" t="s">
        <v>142</v>
      </c>
      <c r="F118" t="s">
        <v>65</v>
      </c>
      <c r="H118" t="s">
        <v>54</v>
      </c>
      <c r="I118" t="s">
        <v>213</v>
      </c>
      <c r="J118" t="s">
        <v>50</v>
      </c>
      <c r="K118" s="83">
        <v>2</v>
      </c>
      <c r="L118">
        <v>-54.58413315</v>
      </c>
      <c r="M118">
        <v>280.07312009999998</v>
      </c>
      <c r="N118">
        <f t="shared" si="4"/>
        <v>334.65725325</v>
      </c>
      <c r="P118" s="83">
        <v>1</v>
      </c>
    </row>
    <row r="119" spans="1:16">
      <c r="A119" s="2">
        <v>46049</v>
      </c>
      <c r="B119" t="s">
        <v>90</v>
      </c>
      <c r="C119">
        <v>64284</v>
      </c>
      <c r="D119">
        <v>1638</v>
      </c>
      <c r="E119" t="s">
        <v>214</v>
      </c>
      <c r="F119" t="s">
        <v>65</v>
      </c>
      <c r="H119" t="s">
        <v>54</v>
      </c>
      <c r="I119" t="s">
        <v>215</v>
      </c>
      <c r="J119" t="s">
        <v>50</v>
      </c>
      <c r="K119" s="83">
        <v>3</v>
      </c>
      <c r="L119">
        <v>-122.9814911</v>
      </c>
      <c r="M119">
        <v>443.86642460000002</v>
      </c>
      <c r="N119">
        <f t="shared" si="4"/>
        <v>566.84791570000004</v>
      </c>
      <c r="P119" s="83">
        <v>1</v>
      </c>
    </row>
    <row r="120" spans="1:16">
      <c r="A120" s="2">
        <v>46049</v>
      </c>
      <c r="B120" t="s">
        <v>44</v>
      </c>
      <c r="C120">
        <v>64284</v>
      </c>
      <c r="D120">
        <v>1639</v>
      </c>
      <c r="E120" t="s">
        <v>216</v>
      </c>
      <c r="F120" t="s">
        <v>65</v>
      </c>
      <c r="H120" t="s">
        <v>54</v>
      </c>
      <c r="I120" t="s">
        <v>217</v>
      </c>
      <c r="J120" t="s">
        <v>50</v>
      </c>
      <c r="K120" s="83">
        <v>5</v>
      </c>
      <c r="L120">
        <v>-46.259490970000002</v>
      </c>
      <c r="M120">
        <v>661.55847170000004</v>
      </c>
      <c r="N120">
        <f t="shared" si="4"/>
        <v>707.81796267000004</v>
      </c>
      <c r="P120" s="83">
        <v>1</v>
      </c>
    </row>
    <row r="121" spans="1:16">
      <c r="A121" s="2">
        <v>46049</v>
      </c>
      <c r="B121" t="s">
        <v>90</v>
      </c>
      <c r="C121">
        <v>64285</v>
      </c>
      <c r="D121">
        <v>1640</v>
      </c>
      <c r="E121" t="s">
        <v>218</v>
      </c>
      <c r="F121" t="s">
        <v>65</v>
      </c>
      <c r="H121" t="s">
        <v>48</v>
      </c>
      <c r="I121" t="s">
        <v>219</v>
      </c>
      <c r="J121" t="s">
        <v>50</v>
      </c>
      <c r="K121" s="83">
        <v>5</v>
      </c>
      <c r="L121">
        <v>-123.0538025</v>
      </c>
      <c r="M121">
        <v>289.32229610000002</v>
      </c>
      <c r="N121">
        <f t="shared" si="4"/>
        <v>412.37609860000003</v>
      </c>
      <c r="P121" s="83">
        <v>1</v>
      </c>
    </row>
    <row r="122" spans="1:16">
      <c r="A122" s="2">
        <v>46049</v>
      </c>
      <c r="B122" t="s">
        <v>44</v>
      </c>
      <c r="C122">
        <v>64284</v>
      </c>
      <c r="D122">
        <v>1641</v>
      </c>
      <c r="E122" t="s">
        <v>95</v>
      </c>
      <c r="F122" t="s">
        <v>65</v>
      </c>
      <c r="H122" t="s">
        <v>54</v>
      </c>
      <c r="J122" t="s">
        <v>50</v>
      </c>
      <c r="K122" s="83">
        <v>3</v>
      </c>
      <c r="L122">
        <v>-30.96637917</v>
      </c>
      <c r="M122">
        <v>423.70919800000001</v>
      </c>
      <c r="N122">
        <f t="shared" si="4"/>
        <v>454.67557717</v>
      </c>
      <c r="P122" s="83">
        <v>1</v>
      </c>
    </row>
    <row r="123" spans="1:16">
      <c r="A123" s="2">
        <v>46049</v>
      </c>
      <c r="B123" t="s">
        <v>90</v>
      </c>
      <c r="C123">
        <v>64285</v>
      </c>
      <c r="D123" s="19">
        <v>1642</v>
      </c>
      <c r="E123" t="s">
        <v>220</v>
      </c>
      <c r="F123" t="s">
        <v>65</v>
      </c>
      <c r="H123" t="s">
        <v>48</v>
      </c>
      <c r="J123" t="s">
        <v>50</v>
      </c>
      <c r="K123" s="83">
        <v>2</v>
      </c>
      <c r="L123">
        <v>-103.6185074</v>
      </c>
      <c r="M123">
        <v>437.55947880000002</v>
      </c>
      <c r="N123">
        <f t="shared" si="4"/>
        <v>541.17798620000008</v>
      </c>
      <c r="P123" s="83">
        <v>1</v>
      </c>
    </row>
    <row r="124" spans="1:16">
      <c r="A124" s="2">
        <v>46049</v>
      </c>
      <c r="B124" t="s">
        <v>44</v>
      </c>
      <c r="C124">
        <v>64285</v>
      </c>
      <c r="D124" s="19">
        <v>1643</v>
      </c>
      <c r="E124" t="s">
        <v>144</v>
      </c>
      <c r="F124" t="s">
        <v>65</v>
      </c>
      <c r="H124" t="s">
        <v>48</v>
      </c>
      <c r="J124" t="s">
        <v>50</v>
      </c>
      <c r="K124" s="83">
        <v>3</v>
      </c>
      <c r="L124">
        <v>-125.2946014</v>
      </c>
      <c r="M124">
        <v>532.19525150000004</v>
      </c>
      <c r="N124">
        <f t="shared" ref="N124:N146" si="5">M124-L124</f>
        <v>657.48985290000007</v>
      </c>
      <c r="P124" s="83">
        <v>1</v>
      </c>
    </row>
    <row r="125" spans="1:16">
      <c r="A125" s="2">
        <v>46049</v>
      </c>
      <c r="B125" t="s">
        <v>44</v>
      </c>
      <c r="C125">
        <v>64285</v>
      </c>
      <c r="D125" s="19">
        <v>1644</v>
      </c>
      <c r="E125" t="s">
        <v>221</v>
      </c>
      <c r="F125" t="s">
        <v>65</v>
      </c>
      <c r="H125" t="s">
        <v>48</v>
      </c>
      <c r="I125" t="s">
        <v>222</v>
      </c>
      <c r="J125" t="s">
        <v>50</v>
      </c>
      <c r="K125" s="83">
        <v>5</v>
      </c>
      <c r="L125">
        <v>-125.30513000000001</v>
      </c>
      <c r="M125">
        <v>683.85980219999999</v>
      </c>
      <c r="N125">
        <f t="shared" si="5"/>
        <v>809.16493219999995</v>
      </c>
      <c r="P125" s="83">
        <v>1</v>
      </c>
    </row>
    <row r="126" spans="1:16">
      <c r="A126" s="2">
        <v>46050</v>
      </c>
      <c r="B126" t="s">
        <v>44</v>
      </c>
      <c r="C126">
        <v>64286</v>
      </c>
      <c r="D126">
        <v>1645</v>
      </c>
      <c r="E126" t="s">
        <v>223</v>
      </c>
      <c r="F126" t="s">
        <v>65</v>
      </c>
      <c r="H126" t="s">
        <v>48</v>
      </c>
      <c r="I126" t="s">
        <v>224</v>
      </c>
      <c r="J126" t="s">
        <v>50</v>
      </c>
      <c r="K126" s="83">
        <v>4</v>
      </c>
      <c r="L126">
        <v>-16.296432500000002</v>
      </c>
      <c r="M126">
        <v>464.21148679999999</v>
      </c>
      <c r="N126">
        <f t="shared" si="5"/>
        <v>480.50791929999997</v>
      </c>
      <c r="P126" s="83">
        <v>1</v>
      </c>
    </row>
    <row r="127" spans="1:16">
      <c r="A127" s="2">
        <v>46050</v>
      </c>
      <c r="B127" t="s">
        <v>90</v>
      </c>
      <c r="C127">
        <v>64286</v>
      </c>
      <c r="D127" s="19">
        <v>1646</v>
      </c>
      <c r="E127" t="s">
        <v>140</v>
      </c>
      <c r="F127" t="s">
        <v>65</v>
      </c>
      <c r="H127" t="s">
        <v>48</v>
      </c>
      <c r="J127" t="s">
        <v>50</v>
      </c>
      <c r="K127" s="83">
        <v>7</v>
      </c>
      <c r="L127">
        <v>-84.175888060000005</v>
      </c>
      <c r="M127">
        <v>585.8436279</v>
      </c>
      <c r="N127">
        <f t="shared" si="5"/>
        <v>670.01951596000004</v>
      </c>
      <c r="P127" s="83">
        <v>1</v>
      </c>
    </row>
    <row r="128" spans="1:16">
      <c r="A128" s="2">
        <v>46050</v>
      </c>
      <c r="B128" t="s">
        <v>44</v>
      </c>
      <c r="C128">
        <v>64286</v>
      </c>
      <c r="D128">
        <v>1647</v>
      </c>
      <c r="E128" t="s">
        <v>107</v>
      </c>
      <c r="F128" t="s">
        <v>65</v>
      </c>
      <c r="H128" t="s">
        <v>48</v>
      </c>
      <c r="I128" t="s">
        <v>225</v>
      </c>
      <c r="J128" t="s">
        <v>50</v>
      </c>
      <c r="K128" s="83">
        <v>7</v>
      </c>
      <c r="L128">
        <v>-65.855422970000006</v>
      </c>
      <c r="M128">
        <v>490.40966800000001</v>
      </c>
      <c r="N128">
        <f t="shared" si="5"/>
        <v>556.26509097000007</v>
      </c>
      <c r="P128" s="83">
        <v>1</v>
      </c>
    </row>
    <row r="129" spans="1:16">
      <c r="A129" s="2">
        <v>46050</v>
      </c>
      <c r="B129" t="s">
        <v>44</v>
      </c>
      <c r="C129">
        <v>64286</v>
      </c>
      <c r="D129">
        <v>1648</v>
      </c>
      <c r="E129" t="s">
        <v>116</v>
      </c>
      <c r="F129" t="s">
        <v>65</v>
      </c>
      <c r="H129" t="s">
        <v>48</v>
      </c>
      <c r="I129" t="s">
        <v>226</v>
      </c>
      <c r="J129" t="s">
        <v>50</v>
      </c>
      <c r="K129" s="83">
        <v>3</v>
      </c>
      <c r="L129">
        <v>-1.5351082089999999</v>
      </c>
      <c r="M129">
        <v>1565.364014</v>
      </c>
      <c r="N129">
        <f t="shared" si="5"/>
        <v>1566.8991222090001</v>
      </c>
      <c r="P129" s="83">
        <v>1</v>
      </c>
    </row>
    <row r="130" spans="1:16">
      <c r="A130" s="2">
        <v>46050</v>
      </c>
      <c r="B130" t="s">
        <v>90</v>
      </c>
      <c r="C130">
        <v>64286</v>
      </c>
      <c r="D130">
        <v>1649</v>
      </c>
      <c r="E130" t="s">
        <v>124</v>
      </c>
      <c r="F130" t="s">
        <v>65</v>
      </c>
      <c r="H130" t="s">
        <v>48</v>
      </c>
      <c r="I130" t="s">
        <v>227</v>
      </c>
      <c r="J130" t="s">
        <v>50</v>
      </c>
      <c r="K130" s="83">
        <v>9</v>
      </c>
      <c r="L130">
        <v>3.553493977</v>
      </c>
      <c r="M130">
        <v>725.08203130000004</v>
      </c>
      <c r="N130">
        <f t="shared" si="5"/>
        <v>721.52853732300002</v>
      </c>
      <c r="P130" s="83">
        <v>1</v>
      </c>
    </row>
    <row r="131" spans="1:16">
      <c r="A131" s="2">
        <v>46050</v>
      </c>
      <c r="B131" t="s">
        <v>90</v>
      </c>
      <c r="C131">
        <v>64287</v>
      </c>
      <c r="D131">
        <v>1650</v>
      </c>
      <c r="E131" t="s">
        <v>126</v>
      </c>
      <c r="F131" t="s">
        <v>65</v>
      </c>
      <c r="H131" t="s">
        <v>54</v>
      </c>
      <c r="J131" t="s">
        <v>50</v>
      </c>
      <c r="K131" s="83">
        <v>2</v>
      </c>
      <c r="L131">
        <v>-15.787678720000001</v>
      </c>
      <c r="M131">
        <v>525.26226810000003</v>
      </c>
      <c r="N131">
        <f t="shared" si="5"/>
        <v>541.04994682000006</v>
      </c>
      <c r="P131" s="83">
        <v>1</v>
      </c>
    </row>
    <row r="132" spans="1:16">
      <c r="A132" s="2">
        <v>46050</v>
      </c>
      <c r="B132" t="s">
        <v>90</v>
      </c>
      <c r="C132">
        <v>64287</v>
      </c>
      <c r="D132">
        <v>1651</v>
      </c>
      <c r="E132" t="s">
        <v>145</v>
      </c>
      <c r="F132" t="s">
        <v>65</v>
      </c>
      <c r="H132" t="s">
        <v>54</v>
      </c>
      <c r="I132" t="s">
        <v>228</v>
      </c>
      <c r="J132" t="s">
        <v>50</v>
      </c>
      <c r="K132" s="83">
        <v>3</v>
      </c>
      <c r="L132">
        <v>-74.476013179999995</v>
      </c>
      <c r="M132">
        <v>440.89291379999997</v>
      </c>
      <c r="N132">
        <f t="shared" si="5"/>
        <v>515.36892697999997</v>
      </c>
      <c r="P132" s="83">
        <v>1</v>
      </c>
    </row>
    <row r="133" spans="1:16">
      <c r="A133" s="2">
        <v>46051</v>
      </c>
      <c r="B133" t="s">
        <v>90</v>
      </c>
      <c r="C133">
        <v>64278</v>
      </c>
      <c r="D133">
        <v>1652</v>
      </c>
      <c r="E133" t="s">
        <v>140</v>
      </c>
      <c r="F133" t="s">
        <v>46</v>
      </c>
      <c r="H133" t="s">
        <v>54</v>
      </c>
      <c r="J133" t="s">
        <v>50</v>
      </c>
      <c r="K133" s="83">
        <v>6</v>
      </c>
      <c r="L133">
        <v>-25.435077669999998</v>
      </c>
      <c r="M133">
        <v>412.34725950000001</v>
      </c>
      <c r="N133">
        <f t="shared" si="5"/>
        <v>437.78233717000001</v>
      </c>
      <c r="P133" s="83">
        <v>1</v>
      </c>
    </row>
    <row r="134" spans="1:16">
      <c r="A134" s="2">
        <v>46051</v>
      </c>
      <c r="B134" t="s">
        <v>90</v>
      </c>
      <c r="C134">
        <v>64278</v>
      </c>
      <c r="D134">
        <v>1653</v>
      </c>
      <c r="E134" t="s">
        <v>142</v>
      </c>
      <c r="F134" t="s">
        <v>46</v>
      </c>
      <c r="H134" t="s">
        <v>54</v>
      </c>
      <c r="I134" t="s">
        <v>229</v>
      </c>
      <c r="J134" t="s">
        <v>50</v>
      </c>
      <c r="K134" s="83">
        <v>5</v>
      </c>
      <c r="L134">
        <v>-6.0055785180000001</v>
      </c>
      <c r="M134">
        <v>715.2850952</v>
      </c>
      <c r="N134">
        <f t="shared" si="5"/>
        <v>721.29067371799999</v>
      </c>
      <c r="P134" s="83">
        <v>1</v>
      </c>
    </row>
    <row r="135" spans="1:16">
      <c r="A135" s="2">
        <v>46051</v>
      </c>
      <c r="B135" t="s">
        <v>90</v>
      </c>
      <c r="C135">
        <v>64278</v>
      </c>
      <c r="D135" s="19">
        <v>1654</v>
      </c>
      <c r="E135" t="s">
        <v>184</v>
      </c>
      <c r="F135" t="s">
        <v>46</v>
      </c>
      <c r="H135" t="s">
        <v>54</v>
      </c>
      <c r="J135" t="s">
        <v>50</v>
      </c>
      <c r="K135" s="83">
        <v>2</v>
      </c>
      <c r="L135">
        <v>-39.907779689999998</v>
      </c>
      <c r="M135">
        <v>1222.7845460000001</v>
      </c>
      <c r="N135">
        <f t="shared" si="5"/>
        <v>1262.6923256900002</v>
      </c>
      <c r="P135" s="83">
        <v>1</v>
      </c>
    </row>
    <row r="136" spans="1:16">
      <c r="A136" s="2">
        <v>46051</v>
      </c>
      <c r="B136" t="s">
        <v>158</v>
      </c>
      <c r="C136">
        <v>64278</v>
      </c>
      <c r="D136">
        <v>1655</v>
      </c>
      <c r="E136" t="s">
        <v>230</v>
      </c>
      <c r="F136" t="s">
        <v>46</v>
      </c>
      <c r="H136" t="s">
        <v>54</v>
      </c>
      <c r="J136" t="s">
        <v>50</v>
      </c>
      <c r="K136" s="83">
        <v>4</v>
      </c>
      <c r="L136">
        <v>-3.5734779830000001</v>
      </c>
      <c r="M136">
        <v>276.5831604</v>
      </c>
      <c r="N136">
        <f t="shared" si="5"/>
        <v>280.15663838299997</v>
      </c>
      <c r="P136" s="83">
        <v>1</v>
      </c>
    </row>
    <row r="137" spans="1:16">
      <c r="A137" s="2">
        <v>46051</v>
      </c>
      <c r="B137" t="s">
        <v>90</v>
      </c>
      <c r="C137">
        <v>64279</v>
      </c>
      <c r="D137">
        <v>1656</v>
      </c>
      <c r="E137" t="s">
        <v>231</v>
      </c>
      <c r="F137" t="s">
        <v>46</v>
      </c>
      <c r="H137" t="s">
        <v>48</v>
      </c>
      <c r="I137" t="s">
        <v>232</v>
      </c>
      <c r="J137" t="s">
        <v>50</v>
      </c>
      <c r="K137" s="83">
        <v>5</v>
      </c>
      <c r="L137">
        <v>-54.51304245</v>
      </c>
      <c r="M137">
        <v>666.81689449999999</v>
      </c>
      <c r="N137">
        <f t="shared" si="5"/>
        <v>721.32993695000005</v>
      </c>
      <c r="P137" s="83">
        <v>1</v>
      </c>
    </row>
    <row r="138" spans="1:16">
      <c r="A138" s="2">
        <v>46051</v>
      </c>
      <c r="B138" t="s">
        <v>90</v>
      </c>
      <c r="C138">
        <v>64279</v>
      </c>
      <c r="D138">
        <v>1657</v>
      </c>
      <c r="E138" t="s">
        <v>233</v>
      </c>
      <c r="F138" t="s">
        <v>46</v>
      </c>
      <c r="H138" t="s">
        <v>48</v>
      </c>
      <c r="I138" t="s">
        <v>234</v>
      </c>
      <c r="J138" t="s">
        <v>50</v>
      </c>
      <c r="K138" s="83">
        <v>3</v>
      </c>
      <c r="L138">
        <v>-122.9345093</v>
      </c>
      <c r="M138">
        <v>495.85586549999999</v>
      </c>
      <c r="N138">
        <f t="shared" si="5"/>
        <v>618.7903748</v>
      </c>
      <c r="P138" s="83">
        <v>1</v>
      </c>
    </row>
    <row r="139" spans="1:16">
      <c r="A139" s="2">
        <v>46051</v>
      </c>
      <c r="B139" t="s">
        <v>158</v>
      </c>
      <c r="C139">
        <v>64279</v>
      </c>
      <c r="D139" s="19">
        <v>1658</v>
      </c>
      <c r="E139" t="s">
        <v>145</v>
      </c>
      <c r="F139" t="s">
        <v>46</v>
      </c>
      <c r="H139" t="s">
        <v>48</v>
      </c>
      <c r="I139" t="s">
        <v>235</v>
      </c>
      <c r="J139" t="s">
        <v>50</v>
      </c>
      <c r="K139" s="83">
        <v>2</v>
      </c>
      <c r="L139">
        <v>1.299723864</v>
      </c>
      <c r="M139">
        <v>230.88504030000001</v>
      </c>
      <c r="N139">
        <f t="shared" si="5"/>
        <v>229.58531643600003</v>
      </c>
      <c r="P139" s="83">
        <v>1</v>
      </c>
    </row>
    <row r="140" spans="1:16">
      <c r="A140" s="2">
        <v>46051</v>
      </c>
      <c r="B140" t="s">
        <v>90</v>
      </c>
      <c r="C140">
        <v>64279</v>
      </c>
      <c r="D140">
        <v>1659</v>
      </c>
      <c r="E140" t="s">
        <v>236</v>
      </c>
      <c r="F140" t="s">
        <v>46</v>
      </c>
      <c r="H140" t="s">
        <v>48</v>
      </c>
      <c r="J140" t="s">
        <v>50</v>
      </c>
      <c r="K140" s="83">
        <v>5</v>
      </c>
      <c r="L140">
        <v>8.3453865050000005</v>
      </c>
      <c r="M140">
        <v>936.09149170000001</v>
      </c>
      <c r="N140">
        <f t="shared" si="5"/>
        <v>927.74610519500004</v>
      </c>
      <c r="P140" s="83">
        <v>1</v>
      </c>
    </row>
    <row r="141" spans="1:16">
      <c r="A141" s="2">
        <v>46052</v>
      </c>
      <c r="B141" t="s">
        <v>90</v>
      </c>
      <c r="C141">
        <v>64288</v>
      </c>
      <c r="D141" s="19">
        <v>1660</v>
      </c>
      <c r="E141" t="s">
        <v>91</v>
      </c>
      <c r="F141" t="s">
        <v>65</v>
      </c>
      <c r="H141" t="s">
        <v>48</v>
      </c>
      <c r="J141" t="s">
        <v>50</v>
      </c>
      <c r="K141" s="83">
        <v>5</v>
      </c>
      <c r="L141">
        <v>-225.366333</v>
      </c>
      <c r="M141">
        <v>496.45056149999999</v>
      </c>
      <c r="N141">
        <f t="shared" si="5"/>
        <v>721.81689449999999</v>
      </c>
      <c r="P141" s="83">
        <v>1</v>
      </c>
    </row>
    <row r="142" spans="1:16">
      <c r="A142" s="2">
        <v>46052</v>
      </c>
      <c r="B142" t="s">
        <v>90</v>
      </c>
      <c r="C142">
        <v>64288</v>
      </c>
      <c r="D142" s="19">
        <v>1661</v>
      </c>
      <c r="E142" t="s">
        <v>237</v>
      </c>
      <c r="F142" t="s">
        <v>65</v>
      </c>
      <c r="H142" t="s">
        <v>48</v>
      </c>
      <c r="J142" t="s">
        <v>50</v>
      </c>
      <c r="K142" s="83">
        <v>5</v>
      </c>
      <c r="L142">
        <v>-152.0040894</v>
      </c>
      <c r="M142">
        <v>672.43524170000001</v>
      </c>
      <c r="N142">
        <f t="shared" si="5"/>
        <v>824.4393311</v>
      </c>
      <c r="P142" s="83">
        <v>1</v>
      </c>
    </row>
    <row r="143" spans="1:16">
      <c r="A143" s="2">
        <v>46052</v>
      </c>
      <c r="B143" t="s">
        <v>90</v>
      </c>
      <c r="C143">
        <v>64288</v>
      </c>
      <c r="D143">
        <v>1662</v>
      </c>
      <c r="E143" t="s">
        <v>238</v>
      </c>
      <c r="F143" t="s">
        <v>65</v>
      </c>
      <c r="H143" t="s">
        <v>48</v>
      </c>
      <c r="I143" t="s">
        <v>239</v>
      </c>
      <c r="J143" t="s">
        <v>50</v>
      </c>
      <c r="K143" s="83">
        <v>2</v>
      </c>
      <c r="L143">
        <v>-6.1015324590000004</v>
      </c>
      <c r="M143">
        <v>328.275238</v>
      </c>
      <c r="N143">
        <f t="shared" si="5"/>
        <v>334.376770459</v>
      </c>
      <c r="P143" s="83">
        <v>1</v>
      </c>
    </row>
    <row r="144" spans="1:16">
      <c r="A144" s="2">
        <v>46052</v>
      </c>
      <c r="B144" t="s">
        <v>90</v>
      </c>
      <c r="C144">
        <v>64289</v>
      </c>
      <c r="D144" s="19">
        <v>1663</v>
      </c>
      <c r="E144" t="s">
        <v>240</v>
      </c>
      <c r="F144" t="s">
        <v>65</v>
      </c>
      <c r="H144" t="s">
        <v>54</v>
      </c>
      <c r="I144" t="s">
        <v>241</v>
      </c>
      <c r="J144" t="s">
        <v>50</v>
      </c>
      <c r="K144" s="83">
        <v>2</v>
      </c>
      <c r="L144">
        <v>-152.01383970000001</v>
      </c>
      <c r="M144">
        <v>492.28765870000001</v>
      </c>
      <c r="N144">
        <f t="shared" si="5"/>
        <v>644.30149840000001</v>
      </c>
      <c r="P144" s="83">
        <v>1</v>
      </c>
    </row>
    <row r="145" spans="1:16">
      <c r="A145" s="2">
        <v>46052</v>
      </c>
      <c r="B145" t="s">
        <v>90</v>
      </c>
      <c r="C145">
        <v>64289</v>
      </c>
      <c r="D145">
        <v>1664</v>
      </c>
      <c r="E145" t="s">
        <v>167</v>
      </c>
      <c r="F145" t="s">
        <v>65</v>
      </c>
      <c r="H145" t="s">
        <v>54</v>
      </c>
      <c r="I145" t="s">
        <v>243</v>
      </c>
      <c r="J145" t="s">
        <v>50</v>
      </c>
      <c r="K145" s="83">
        <v>4</v>
      </c>
      <c r="L145">
        <v>-6.0301389690000002</v>
      </c>
      <c r="M145">
        <v>380.2490234</v>
      </c>
      <c r="N145">
        <f t="shared" si="5"/>
        <v>386.27916236900001</v>
      </c>
      <c r="P145" s="83">
        <v>1</v>
      </c>
    </row>
    <row r="146" spans="1:16">
      <c r="A146" s="2">
        <v>46052</v>
      </c>
      <c r="B146" t="s">
        <v>90</v>
      </c>
      <c r="C146">
        <v>64289</v>
      </c>
      <c r="D146" s="19">
        <v>1665</v>
      </c>
      <c r="E146" t="s">
        <v>244</v>
      </c>
      <c r="F146" t="s">
        <v>65</v>
      </c>
      <c r="H146" t="s">
        <v>54</v>
      </c>
      <c r="J146" t="s">
        <v>50</v>
      </c>
      <c r="K146" s="50"/>
      <c r="L146" s="50"/>
      <c r="M146" s="50"/>
      <c r="N146" s="50">
        <f t="shared" si="5"/>
        <v>0</v>
      </c>
      <c r="O146" s="50"/>
      <c r="P146" s="84" t="s">
        <v>152</v>
      </c>
    </row>
    <row r="147" spans="1:16">
      <c r="A147" s="2">
        <v>46057</v>
      </c>
      <c r="B147" t="s">
        <v>44</v>
      </c>
      <c r="C147">
        <v>64280</v>
      </c>
      <c r="D147">
        <v>1666</v>
      </c>
      <c r="E147" t="s">
        <v>140</v>
      </c>
      <c r="F147" t="s">
        <v>46</v>
      </c>
      <c r="H147" t="s">
        <v>48</v>
      </c>
      <c r="I147" t="s">
        <v>245</v>
      </c>
      <c r="J147" t="s">
        <v>50</v>
      </c>
      <c r="K147" s="83">
        <v>4</v>
      </c>
      <c r="L147">
        <v>-51.475170140000003</v>
      </c>
      <c r="M147">
        <v>529.8947144</v>
      </c>
      <c r="N147">
        <f>M147-L147</f>
        <v>581.36988454000004</v>
      </c>
      <c r="P147" s="83">
        <v>1</v>
      </c>
    </row>
    <row r="148" spans="1:16">
      <c r="A148" s="2">
        <v>46057</v>
      </c>
      <c r="B148" t="s">
        <v>44</v>
      </c>
      <c r="C148">
        <v>64280</v>
      </c>
      <c r="D148">
        <v>1667</v>
      </c>
      <c r="E148" t="s">
        <v>82</v>
      </c>
      <c r="F148" t="s">
        <v>46</v>
      </c>
      <c r="H148" t="s">
        <v>48</v>
      </c>
      <c r="I148" t="s">
        <v>246</v>
      </c>
      <c r="J148" t="s">
        <v>50</v>
      </c>
      <c r="K148" s="83">
        <v>3</v>
      </c>
      <c r="L148">
        <v>-75.811889649999998</v>
      </c>
      <c r="M148">
        <v>378.82485960000002</v>
      </c>
      <c r="N148">
        <f t="shared" ref="N148:N156" si="6">M148-L148</f>
        <v>454.63674925000004</v>
      </c>
      <c r="P148" s="83">
        <v>1</v>
      </c>
    </row>
    <row r="149" spans="1:16">
      <c r="A149" s="2">
        <v>46057</v>
      </c>
      <c r="B149" t="s">
        <v>90</v>
      </c>
      <c r="C149">
        <v>64280</v>
      </c>
      <c r="D149">
        <v>1668</v>
      </c>
      <c r="E149" t="s">
        <v>140</v>
      </c>
      <c r="F149" t="s">
        <v>46</v>
      </c>
      <c r="H149" t="s">
        <v>48</v>
      </c>
      <c r="I149" t="s">
        <v>247</v>
      </c>
      <c r="J149" t="s">
        <v>50</v>
      </c>
      <c r="K149" s="83">
        <v>3</v>
      </c>
      <c r="L149">
        <v>-152.03489690000001</v>
      </c>
      <c r="M149">
        <v>620.25805660000003</v>
      </c>
      <c r="N149">
        <f t="shared" si="6"/>
        <v>772.29295350000007</v>
      </c>
      <c r="P149" s="83">
        <v>1</v>
      </c>
    </row>
    <row r="150" spans="1:16">
      <c r="A150" s="2">
        <v>46057</v>
      </c>
      <c r="B150" t="s">
        <v>90</v>
      </c>
      <c r="C150">
        <v>64280</v>
      </c>
      <c r="D150">
        <v>1669</v>
      </c>
      <c r="E150" t="s">
        <v>142</v>
      </c>
      <c r="F150" t="s">
        <v>46</v>
      </c>
      <c r="H150" t="s">
        <v>48</v>
      </c>
      <c r="I150" t="s">
        <v>248</v>
      </c>
      <c r="J150" t="s">
        <v>50</v>
      </c>
      <c r="K150" s="83">
        <v>4</v>
      </c>
      <c r="L150">
        <v>-113.2741394</v>
      </c>
      <c r="M150">
        <v>376.36782840000001</v>
      </c>
      <c r="N150">
        <f t="shared" si="6"/>
        <v>489.64196779999997</v>
      </c>
      <c r="P150" s="83">
        <v>1</v>
      </c>
    </row>
    <row r="151" spans="1:16">
      <c r="A151" s="2">
        <v>46057</v>
      </c>
      <c r="B151" t="s">
        <v>90</v>
      </c>
      <c r="C151">
        <v>64281</v>
      </c>
      <c r="D151">
        <v>1670</v>
      </c>
      <c r="E151" t="s">
        <v>194</v>
      </c>
      <c r="F151" t="s">
        <v>46</v>
      </c>
      <c r="H151" t="s">
        <v>54</v>
      </c>
      <c r="J151" t="s">
        <v>50</v>
      </c>
      <c r="K151" s="83">
        <v>6</v>
      </c>
      <c r="L151">
        <v>-59.439029689999998</v>
      </c>
      <c r="M151">
        <v>1099.2901609999999</v>
      </c>
      <c r="N151">
        <f t="shared" si="6"/>
        <v>1158.72919069</v>
      </c>
      <c r="P151" s="83">
        <v>1</v>
      </c>
    </row>
    <row r="152" spans="1:16">
      <c r="A152" s="2">
        <v>46057</v>
      </c>
      <c r="B152" t="s">
        <v>44</v>
      </c>
      <c r="C152">
        <v>64281</v>
      </c>
      <c r="D152">
        <v>1671</v>
      </c>
      <c r="E152" t="s">
        <v>184</v>
      </c>
      <c r="F152" t="s">
        <v>46</v>
      </c>
      <c r="H152" t="s">
        <v>54</v>
      </c>
      <c r="I152" t="s">
        <v>249</v>
      </c>
      <c r="J152" t="s">
        <v>50</v>
      </c>
      <c r="K152" s="83">
        <v>7</v>
      </c>
      <c r="L152">
        <v>-16.351198199999999</v>
      </c>
      <c r="M152">
        <v>287.00607300000001</v>
      </c>
      <c r="N152">
        <f t="shared" si="6"/>
        <v>303.35727120000001</v>
      </c>
      <c r="P152" s="83">
        <v>1</v>
      </c>
    </row>
    <row r="153" spans="1:16">
      <c r="A153" s="2">
        <v>46057</v>
      </c>
      <c r="B153" t="s">
        <v>44</v>
      </c>
      <c r="C153">
        <v>64281</v>
      </c>
      <c r="D153">
        <v>1672</v>
      </c>
      <c r="E153" t="s">
        <v>250</v>
      </c>
      <c r="F153" t="s">
        <v>46</v>
      </c>
      <c r="H153" t="s">
        <v>54</v>
      </c>
      <c r="J153" t="s">
        <v>50</v>
      </c>
      <c r="K153" s="83">
        <v>7</v>
      </c>
      <c r="L153">
        <v>-100.2250366</v>
      </c>
      <c r="M153">
        <v>859.95404050000002</v>
      </c>
      <c r="N153">
        <f t="shared" si="6"/>
        <v>960.17907709999997</v>
      </c>
      <c r="P153" s="83">
        <v>1</v>
      </c>
    </row>
    <row r="154" spans="1:16">
      <c r="A154" s="2">
        <v>46057</v>
      </c>
      <c r="B154" t="s">
        <v>90</v>
      </c>
      <c r="C154">
        <v>64281</v>
      </c>
      <c r="D154">
        <v>1673</v>
      </c>
      <c r="E154" t="s">
        <v>251</v>
      </c>
      <c r="F154" t="s">
        <v>46</v>
      </c>
      <c r="H154" t="s">
        <v>54</v>
      </c>
      <c r="I154" t="s">
        <v>252</v>
      </c>
      <c r="J154" t="s">
        <v>50</v>
      </c>
      <c r="K154" s="83">
        <v>2</v>
      </c>
      <c r="L154">
        <v>-49.653419489999997</v>
      </c>
      <c r="M154">
        <v>491.27041630000002</v>
      </c>
      <c r="N154">
        <f t="shared" si="6"/>
        <v>540.92383579</v>
      </c>
      <c r="P154" s="83">
        <v>1</v>
      </c>
    </row>
    <row r="155" spans="1:16">
      <c r="A155" s="2">
        <v>46057</v>
      </c>
      <c r="B155" t="s">
        <v>44</v>
      </c>
      <c r="C155">
        <v>64281</v>
      </c>
      <c r="D155">
        <v>1674</v>
      </c>
      <c r="E155" t="s">
        <v>253</v>
      </c>
      <c r="F155" t="s">
        <v>46</v>
      </c>
      <c r="H155" t="s">
        <v>54</v>
      </c>
      <c r="I155" t="s">
        <v>254</v>
      </c>
      <c r="J155" t="s">
        <v>50</v>
      </c>
      <c r="K155" s="83">
        <v>4</v>
      </c>
      <c r="L155">
        <v>-125.3849106</v>
      </c>
      <c r="M155">
        <v>557.51702880000005</v>
      </c>
      <c r="N155">
        <f t="shared" si="6"/>
        <v>682.90193940000006</v>
      </c>
      <c r="P155" s="83">
        <v>1</v>
      </c>
    </row>
    <row r="156" spans="1:16">
      <c r="A156" s="2">
        <v>46057</v>
      </c>
      <c r="B156" t="s">
        <v>90</v>
      </c>
      <c r="C156">
        <v>64281</v>
      </c>
      <c r="D156">
        <v>1675</v>
      </c>
      <c r="E156" t="s">
        <v>255</v>
      </c>
      <c r="F156" t="s">
        <v>46</v>
      </c>
      <c r="H156" t="s">
        <v>54</v>
      </c>
      <c r="I156" t="s">
        <v>256</v>
      </c>
      <c r="J156" t="s">
        <v>50</v>
      </c>
      <c r="K156" s="83">
        <v>4</v>
      </c>
      <c r="L156">
        <v>-54.598167420000003</v>
      </c>
      <c r="M156">
        <v>846.69848630000001</v>
      </c>
      <c r="N156">
        <f t="shared" si="6"/>
        <v>901.29665371999999</v>
      </c>
      <c r="P156" s="83">
        <v>1</v>
      </c>
    </row>
  </sheetData>
  <conditionalFormatting sqref="P1:P116 P157:P1048576">
    <cfRule type="cellIs" dxfId="441" priority="1" operator="greaterThan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FD22-9B96-4954-8B95-7F14D73408F4}">
  <sheetPr>
    <tabColor rgb="FFFFF48C"/>
  </sheetPr>
  <dimension ref="A1:N58"/>
  <sheetViews>
    <sheetView topLeftCell="A35" workbookViewId="0">
      <selection activeCell="L60" sqref="L60:N60"/>
    </sheetView>
  </sheetViews>
  <sheetFormatPr defaultRowHeight="15"/>
  <cols>
    <col min="1" max="1" width="11.42578125" bestFit="1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4" t="s">
        <v>268</v>
      </c>
      <c r="M1" s="24" t="s">
        <v>269</v>
      </c>
      <c r="N1" s="24" t="s">
        <v>270</v>
      </c>
    </row>
    <row r="2" spans="1:14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H2" t="s">
        <v>48</v>
      </c>
      <c r="I2" t="s">
        <v>49</v>
      </c>
      <c r="J2" t="s">
        <v>50</v>
      </c>
      <c r="L2" s="22">
        <v>-1.69432</v>
      </c>
      <c r="M2" s="22">
        <v>-0.59567999999999999</v>
      </c>
      <c r="N2" s="22">
        <v>0.141457</v>
      </c>
    </row>
    <row r="3" spans="1:14">
      <c r="A3" s="2">
        <v>45979</v>
      </c>
      <c r="B3" t="s">
        <v>44</v>
      </c>
      <c r="C3">
        <v>63562</v>
      </c>
      <c r="D3">
        <v>1521</v>
      </c>
      <c r="E3" t="s">
        <v>51</v>
      </c>
      <c r="F3" t="s">
        <v>46</v>
      </c>
      <c r="H3" t="s">
        <v>48</v>
      </c>
      <c r="I3" t="s">
        <v>52</v>
      </c>
      <c r="J3" t="s">
        <v>50</v>
      </c>
      <c r="L3" s="22">
        <v>-1.9875499999999999</v>
      </c>
      <c r="M3" s="22">
        <v>0.11816599999999999</v>
      </c>
      <c r="N3" s="22">
        <v>-0.36612</v>
      </c>
    </row>
    <row r="4" spans="1:14">
      <c r="A4" s="2">
        <v>45979</v>
      </c>
      <c r="B4" t="s">
        <v>44</v>
      </c>
      <c r="C4">
        <v>63563</v>
      </c>
      <c r="D4">
        <v>1522</v>
      </c>
      <c r="E4" t="s">
        <v>53</v>
      </c>
      <c r="F4" t="s">
        <v>46</v>
      </c>
      <c r="H4" t="s">
        <v>54</v>
      </c>
      <c r="I4" t="s">
        <v>55</v>
      </c>
      <c r="J4" t="s">
        <v>50</v>
      </c>
      <c r="L4" s="22">
        <v>0.20682300000000001</v>
      </c>
      <c r="M4" s="22">
        <v>0.28311700000000001</v>
      </c>
      <c r="N4" s="22">
        <v>0.185667</v>
      </c>
    </row>
    <row r="5" spans="1:14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H5" t="s">
        <v>54</v>
      </c>
      <c r="I5" t="s">
        <v>58</v>
      </c>
      <c r="J5" t="s">
        <v>50</v>
      </c>
      <c r="L5" s="22" t="s">
        <v>59</v>
      </c>
      <c r="M5" s="22"/>
      <c r="N5" s="22"/>
    </row>
    <row r="6" spans="1:14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H6" t="s">
        <v>54</v>
      </c>
      <c r="I6" t="s">
        <v>61</v>
      </c>
      <c r="J6" t="s">
        <v>50</v>
      </c>
      <c r="L6" s="22">
        <v>-2.0233500000000002</v>
      </c>
      <c r="M6" s="22">
        <v>-0.51273000000000002</v>
      </c>
      <c r="N6" s="22">
        <v>-0.23860999999999999</v>
      </c>
    </row>
    <row r="7" spans="1:14">
      <c r="A7" s="2">
        <v>45980</v>
      </c>
      <c r="B7" t="s">
        <v>44</v>
      </c>
      <c r="C7">
        <v>63564</v>
      </c>
      <c r="D7">
        <v>1525</v>
      </c>
      <c r="E7" t="s">
        <v>62</v>
      </c>
      <c r="F7" t="s">
        <v>46</v>
      </c>
      <c r="H7" t="s">
        <v>54</v>
      </c>
      <c r="J7" t="s">
        <v>50</v>
      </c>
      <c r="L7" s="22">
        <v>-3.91</v>
      </c>
      <c r="M7" s="22">
        <v>-0.90402000000000005</v>
      </c>
      <c r="N7" s="22">
        <v>-0.52442</v>
      </c>
    </row>
    <row r="8" spans="1:14">
      <c r="A8" s="2">
        <v>45980</v>
      </c>
      <c r="B8" t="s">
        <v>44</v>
      </c>
      <c r="C8">
        <v>63565</v>
      </c>
      <c r="D8">
        <v>1526</v>
      </c>
      <c r="E8" t="s">
        <v>63</v>
      </c>
      <c r="F8" t="s">
        <v>46</v>
      </c>
      <c r="H8" t="s">
        <v>48</v>
      </c>
      <c r="J8" t="s">
        <v>50</v>
      </c>
      <c r="L8" s="22">
        <v>-5.4093799999999996</v>
      </c>
      <c r="M8" s="22">
        <v>0.144819</v>
      </c>
      <c r="N8" s="22">
        <v>-5.21E-2</v>
      </c>
    </row>
    <row r="9" spans="1:14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H9" t="s">
        <v>48</v>
      </c>
      <c r="J9" t="s">
        <v>50</v>
      </c>
      <c r="L9" s="22">
        <v>-2.9762</v>
      </c>
      <c r="M9" s="22">
        <v>-0.61109000000000002</v>
      </c>
      <c r="N9" s="22">
        <v>0.52867500000000001</v>
      </c>
    </row>
    <row r="10" spans="1:14">
      <c r="A10" s="2">
        <v>45981</v>
      </c>
      <c r="B10" t="s">
        <v>44</v>
      </c>
      <c r="C10">
        <v>63552</v>
      </c>
      <c r="D10">
        <v>1528</v>
      </c>
      <c r="E10" t="s">
        <v>51</v>
      </c>
      <c r="F10" t="s">
        <v>65</v>
      </c>
      <c r="H10" t="s">
        <v>48</v>
      </c>
      <c r="I10" t="s">
        <v>66</v>
      </c>
      <c r="J10" t="s">
        <v>50</v>
      </c>
      <c r="L10" s="22">
        <v>-0.99248000000000003</v>
      </c>
      <c r="M10" s="22">
        <v>-0.24479999999999999</v>
      </c>
      <c r="N10" s="22">
        <v>-0.31043999999999999</v>
      </c>
    </row>
    <row r="11" spans="1:14">
      <c r="A11" s="2">
        <v>45981</v>
      </c>
      <c r="B11" t="s">
        <v>44</v>
      </c>
      <c r="C11">
        <v>63553</v>
      </c>
      <c r="D11">
        <v>1529</v>
      </c>
      <c r="E11" t="s">
        <v>53</v>
      </c>
      <c r="F11" t="s">
        <v>65</v>
      </c>
      <c r="H11" t="s">
        <v>54</v>
      </c>
      <c r="I11" t="s">
        <v>67</v>
      </c>
      <c r="J11" t="s">
        <v>50</v>
      </c>
      <c r="L11" s="22">
        <v>-2.95892</v>
      </c>
      <c r="M11" s="22">
        <v>1.6541E-2</v>
      </c>
      <c r="N11" s="22">
        <v>-0.28555000000000003</v>
      </c>
    </row>
    <row r="12" spans="1:14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H12" t="s">
        <v>54</v>
      </c>
      <c r="J12" t="s">
        <v>50</v>
      </c>
      <c r="L12">
        <v>-1.9211387630000001</v>
      </c>
      <c r="M12">
        <v>-0.53258895900000003</v>
      </c>
      <c r="N12">
        <v>-0.52159309399999998</v>
      </c>
    </row>
    <row r="13" spans="1:14">
      <c r="A13" s="2">
        <v>45985</v>
      </c>
      <c r="B13" t="s">
        <v>69</v>
      </c>
      <c r="C13">
        <v>63550</v>
      </c>
      <c r="D13">
        <v>1531</v>
      </c>
      <c r="E13" t="s">
        <v>68</v>
      </c>
      <c r="F13" t="s">
        <v>65</v>
      </c>
      <c r="H13" t="s">
        <v>54</v>
      </c>
      <c r="J13" t="s">
        <v>50</v>
      </c>
      <c r="L13">
        <v>-7.7076110839999998</v>
      </c>
      <c r="M13">
        <v>-5.9070739750000003</v>
      </c>
      <c r="N13">
        <v>0.50789642300000004</v>
      </c>
    </row>
    <row r="14" spans="1:14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H14" t="s">
        <v>54</v>
      </c>
      <c r="I14" t="s">
        <v>73</v>
      </c>
      <c r="J14" t="s">
        <v>50</v>
      </c>
      <c r="L14">
        <v>-8.8638286589999993</v>
      </c>
      <c r="M14">
        <v>-4.2861919400000001</v>
      </c>
      <c r="N14">
        <v>-0.16186714199999999</v>
      </c>
    </row>
    <row r="15" spans="1:14">
      <c r="A15" s="2">
        <v>45985</v>
      </c>
      <c r="B15" t="s">
        <v>69</v>
      </c>
      <c r="C15">
        <v>63550</v>
      </c>
      <c r="D15">
        <v>1533</v>
      </c>
      <c r="E15" t="s">
        <v>74</v>
      </c>
      <c r="F15" t="s">
        <v>65</v>
      </c>
      <c r="H15" t="s">
        <v>54</v>
      </c>
      <c r="J15" t="s">
        <v>50</v>
      </c>
      <c r="L15">
        <v>-5.0319271089999997</v>
      </c>
      <c r="M15">
        <v>-1.2782649989999999</v>
      </c>
      <c r="N15">
        <v>-0.59458732599999997</v>
      </c>
    </row>
    <row r="16" spans="1:14">
      <c r="A16" s="2">
        <v>45985</v>
      </c>
      <c r="B16" t="s">
        <v>44</v>
      </c>
      <c r="C16">
        <v>63551</v>
      </c>
      <c r="D16">
        <v>1534</v>
      </c>
      <c r="E16" t="s">
        <v>76</v>
      </c>
      <c r="F16" t="s">
        <v>65</v>
      </c>
      <c r="H16" t="s">
        <v>48</v>
      </c>
      <c r="I16" t="s">
        <v>77</v>
      </c>
      <c r="J16" t="s">
        <v>50</v>
      </c>
      <c r="L16">
        <v>-0.78960800200000003</v>
      </c>
      <c r="M16">
        <v>-0.25555038499999999</v>
      </c>
      <c r="N16">
        <v>-0.30863380400000001</v>
      </c>
    </row>
    <row r="17" spans="1:14">
      <c r="A17" s="2">
        <v>46000</v>
      </c>
      <c r="B17" t="s">
        <v>69</v>
      </c>
      <c r="C17">
        <v>63542</v>
      </c>
      <c r="D17">
        <v>1536</v>
      </c>
      <c r="E17" t="s">
        <v>78</v>
      </c>
      <c r="F17" t="s">
        <v>65</v>
      </c>
      <c r="H17" t="s">
        <v>48</v>
      </c>
      <c r="I17" t="s">
        <v>79</v>
      </c>
      <c r="J17" t="s">
        <v>80</v>
      </c>
      <c r="L17">
        <v>-8.4507675169999992</v>
      </c>
      <c r="M17">
        <v>-2.6066513059999998</v>
      </c>
      <c r="N17">
        <v>-0.33975029000000001</v>
      </c>
    </row>
    <row r="18" spans="1:14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H18" t="s">
        <v>54</v>
      </c>
      <c r="I18" t="s">
        <v>81</v>
      </c>
      <c r="J18" t="s">
        <v>50</v>
      </c>
      <c r="L18">
        <v>-0.90208244299999996</v>
      </c>
      <c r="M18">
        <v>-0.38328361500000002</v>
      </c>
      <c r="N18">
        <v>0.153627396</v>
      </c>
    </row>
    <row r="19" spans="1:14">
      <c r="A19" s="2">
        <v>46000</v>
      </c>
      <c r="B19" t="s">
        <v>69</v>
      </c>
      <c r="C19">
        <v>63543</v>
      </c>
      <c r="D19">
        <v>1538</v>
      </c>
      <c r="E19" t="s">
        <v>82</v>
      </c>
      <c r="F19" t="s">
        <v>65</v>
      </c>
      <c r="H19" t="s">
        <v>54</v>
      </c>
      <c r="I19" t="s">
        <v>83</v>
      </c>
      <c r="J19" t="s">
        <v>50</v>
      </c>
      <c r="L19">
        <v>-7.6242198940000003</v>
      </c>
      <c r="M19">
        <v>-2.6803722379999999</v>
      </c>
      <c r="N19">
        <v>-6.6967010000000002E-3</v>
      </c>
    </row>
    <row r="20" spans="1:14">
      <c r="A20" s="2">
        <v>46000</v>
      </c>
      <c r="B20" t="s">
        <v>44</v>
      </c>
      <c r="C20">
        <v>63543</v>
      </c>
      <c r="D20">
        <v>1539</v>
      </c>
      <c r="E20" t="s">
        <v>84</v>
      </c>
      <c r="F20" t="s">
        <v>65</v>
      </c>
      <c r="H20" t="s">
        <v>54</v>
      </c>
      <c r="I20" t="s">
        <v>85</v>
      </c>
      <c r="J20" t="s">
        <v>50</v>
      </c>
      <c r="L20">
        <v>-4.7755393980000003</v>
      </c>
      <c r="M20">
        <v>-0.99135971099999998</v>
      </c>
      <c r="N20">
        <v>-0.44451713599999998</v>
      </c>
    </row>
    <row r="21" spans="1:14">
      <c r="A21" s="2">
        <v>46001</v>
      </c>
      <c r="B21" t="s">
        <v>69</v>
      </c>
      <c r="C21">
        <v>63558</v>
      </c>
      <c r="D21">
        <v>1540</v>
      </c>
      <c r="E21" t="s">
        <v>86</v>
      </c>
      <c r="F21" t="s">
        <v>46</v>
      </c>
      <c r="H21" t="s">
        <v>54</v>
      </c>
      <c r="J21" t="s">
        <v>50</v>
      </c>
      <c r="L21">
        <v>-1.496124268</v>
      </c>
      <c r="M21">
        <v>-0.97732543900000002</v>
      </c>
      <c r="N21">
        <v>-0.63455390899999997</v>
      </c>
    </row>
    <row r="22" spans="1:14">
      <c r="A22" s="2">
        <v>46001</v>
      </c>
      <c r="B22" t="s">
        <v>69</v>
      </c>
      <c r="C22">
        <v>63559</v>
      </c>
      <c r="D22">
        <v>1541</v>
      </c>
      <c r="E22" t="s">
        <v>87</v>
      </c>
      <c r="F22" t="s">
        <v>46</v>
      </c>
      <c r="H22" t="s">
        <v>48</v>
      </c>
      <c r="I22" t="s">
        <v>88</v>
      </c>
      <c r="J22" t="s">
        <v>50</v>
      </c>
      <c r="L22">
        <v>-1.0723552700000001</v>
      </c>
      <c r="M22">
        <v>-0.507780075</v>
      </c>
      <c r="N22">
        <v>-0.44050598099999999</v>
      </c>
    </row>
    <row r="23" spans="1:14">
      <c r="A23" s="2">
        <v>46001</v>
      </c>
      <c r="B23" t="s">
        <v>90</v>
      </c>
      <c r="C23">
        <v>63559</v>
      </c>
      <c r="D23">
        <v>1542</v>
      </c>
      <c r="E23" t="s">
        <v>91</v>
      </c>
      <c r="F23" t="s">
        <v>46</v>
      </c>
      <c r="H23" t="s">
        <v>48</v>
      </c>
      <c r="J23" t="s">
        <v>50</v>
      </c>
      <c r="L23">
        <v>-0.523693085</v>
      </c>
      <c r="M23">
        <v>-0.294811249</v>
      </c>
      <c r="N23">
        <v>-0.19690513600000001</v>
      </c>
    </row>
    <row r="24" spans="1:14">
      <c r="A24" s="2">
        <v>46002</v>
      </c>
      <c r="B24" t="s">
        <v>69</v>
      </c>
      <c r="C24">
        <v>63560</v>
      </c>
      <c r="D24">
        <v>1543</v>
      </c>
      <c r="E24" t="s">
        <v>93</v>
      </c>
      <c r="F24" t="s">
        <v>46</v>
      </c>
      <c r="H24" t="s">
        <v>54</v>
      </c>
      <c r="I24" t="s">
        <v>94</v>
      </c>
      <c r="J24" t="s">
        <v>50</v>
      </c>
      <c r="L24">
        <v>-0.87671852100000003</v>
      </c>
      <c r="M24">
        <v>-0.37317848199999998</v>
      </c>
      <c r="N24">
        <v>-0.16537666300000001</v>
      </c>
    </row>
    <row r="25" spans="1:14">
      <c r="A25" s="2">
        <v>46002</v>
      </c>
      <c r="B25" t="s">
        <v>69</v>
      </c>
      <c r="C25">
        <v>63561</v>
      </c>
      <c r="D25">
        <v>1544</v>
      </c>
      <c r="E25" t="s">
        <v>95</v>
      </c>
      <c r="F25" t="s">
        <v>46</v>
      </c>
      <c r="H25" t="s">
        <v>48</v>
      </c>
      <c r="I25" t="s">
        <v>96</v>
      </c>
      <c r="J25" t="s">
        <v>50</v>
      </c>
      <c r="L25">
        <v>-0.19808578499999999</v>
      </c>
      <c r="M25">
        <v>-0.35067367599999999</v>
      </c>
      <c r="N25">
        <v>-0.109348297</v>
      </c>
    </row>
    <row r="26" spans="1:14">
      <c r="A26" s="2">
        <v>46002</v>
      </c>
      <c r="B26" t="s">
        <v>44</v>
      </c>
      <c r="C26">
        <v>63561</v>
      </c>
      <c r="D26">
        <v>1545</v>
      </c>
      <c r="E26" t="s">
        <v>97</v>
      </c>
      <c r="F26" t="s">
        <v>46</v>
      </c>
      <c r="H26" t="s">
        <v>48</v>
      </c>
      <c r="J26" t="s">
        <v>50</v>
      </c>
      <c r="L26">
        <v>-8.8753166199999995</v>
      </c>
      <c r="M26">
        <v>-1.886791229</v>
      </c>
      <c r="N26">
        <v>-1.3805484770000001</v>
      </c>
    </row>
    <row r="27" spans="1:14">
      <c r="A27" s="2">
        <v>46002</v>
      </c>
      <c r="B27" t="s">
        <v>90</v>
      </c>
      <c r="C27">
        <v>63560</v>
      </c>
      <c r="D27">
        <v>1546</v>
      </c>
      <c r="F27" t="s">
        <v>46</v>
      </c>
      <c r="H27" t="s">
        <v>48</v>
      </c>
      <c r="L27" t="s">
        <v>59</v>
      </c>
    </row>
    <row r="28" spans="1:14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H28" t="s">
        <v>54</v>
      </c>
      <c r="I28" t="s">
        <v>100</v>
      </c>
      <c r="J28" t="s">
        <v>50</v>
      </c>
      <c r="L28">
        <v>-2.3301944730000002</v>
      </c>
      <c r="M28">
        <v>-0.63646888700000004</v>
      </c>
      <c r="N28">
        <v>-0.13182449299999999</v>
      </c>
    </row>
    <row r="29" spans="1:14">
      <c r="A29" s="2">
        <v>46003</v>
      </c>
      <c r="B29" t="s">
        <v>101</v>
      </c>
      <c r="C29">
        <v>63544</v>
      </c>
      <c r="D29">
        <v>1548</v>
      </c>
      <c r="E29" t="s">
        <v>102</v>
      </c>
      <c r="F29" t="s">
        <v>65</v>
      </c>
      <c r="H29" t="s">
        <v>54</v>
      </c>
      <c r="I29" t="s">
        <v>103</v>
      </c>
      <c r="J29" t="s">
        <v>50</v>
      </c>
      <c r="L29">
        <v>-4.241855621</v>
      </c>
      <c r="M29">
        <v>-0.488193512</v>
      </c>
      <c r="N29">
        <v>-0.19854354900000001</v>
      </c>
    </row>
    <row r="30" spans="1:14">
      <c r="A30" s="2">
        <v>46003</v>
      </c>
      <c r="B30" t="s">
        <v>90</v>
      </c>
      <c r="C30">
        <v>63544</v>
      </c>
      <c r="D30">
        <v>1549</v>
      </c>
      <c r="E30" t="s">
        <v>104</v>
      </c>
      <c r="F30" t="s">
        <v>65</v>
      </c>
      <c r="H30" t="s">
        <v>54</v>
      </c>
      <c r="J30" t="s">
        <v>80</v>
      </c>
      <c r="L30">
        <v>-4.0821323390000002</v>
      </c>
      <c r="M30">
        <v>-2.8461704249999999</v>
      </c>
      <c r="N30">
        <v>-0.54232215900000003</v>
      </c>
    </row>
    <row r="31" spans="1:14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H31" t="s">
        <v>48</v>
      </c>
      <c r="I31" t="s">
        <v>106</v>
      </c>
      <c r="J31" t="s">
        <v>50</v>
      </c>
      <c r="L31">
        <v>-1.1884078979999999</v>
      </c>
      <c r="M31">
        <v>-0.30339813199999999</v>
      </c>
      <c r="N31">
        <v>-0.43901443499999998</v>
      </c>
    </row>
    <row r="32" spans="1:14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H32" t="s">
        <v>108</v>
      </c>
      <c r="I32" t="s">
        <v>109</v>
      </c>
      <c r="J32" t="s">
        <v>50</v>
      </c>
      <c r="L32">
        <v>-4.3806781770000001</v>
      </c>
      <c r="M32">
        <v>-0.90167427099999997</v>
      </c>
      <c r="N32">
        <v>-0.78892707799999995</v>
      </c>
    </row>
    <row r="33" spans="1:14">
      <c r="A33" s="2">
        <v>46003</v>
      </c>
      <c r="B33" t="s">
        <v>90</v>
      </c>
      <c r="C33">
        <v>63545</v>
      </c>
      <c r="D33">
        <v>1552</v>
      </c>
      <c r="E33" t="s">
        <v>110</v>
      </c>
      <c r="F33" t="s">
        <v>65</v>
      </c>
      <c r="H33" t="s">
        <v>48</v>
      </c>
      <c r="J33" t="s">
        <v>50</v>
      </c>
      <c r="L33">
        <v>-3.6752395629999999</v>
      </c>
      <c r="M33">
        <v>-1.2338333130000001</v>
      </c>
      <c r="N33">
        <v>1.1944446559999999</v>
      </c>
    </row>
    <row r="34" spans="1:14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H34" t="s">
        <v>48</v>
      </c>
      <c r="J34" t="s">
        <v>50</v>
      </c>
      <c r="L34">
        <v>-2.0611190800000001</v>
      </c>
      <c r="M34">
        <v>0.30399322499999998</v>
      </c>
      <c r="N34">
        <v>0.20715141300000001</v>
      </c>
    </row>
    <row r="35" spans="1:14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H35" t="s">
        <v>48</v>
      </c>
      <c r="J35" t="s">
        <v>50</v>
      </c>
      <c r="L35">
        <v>-1.197706223</v>
      </c>
      <c r="M35">
        <v>-0.251661301</v>
      </c>
      <c r="N35">
        <v>-0.212543488</v>
      </c>
    </row>
    <row r="36" spans="1:14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H36" t="s">
        <v>48</v>
      </c>
      <c r="I36" t="s">
        <v>112</v>
      </c>
      <c r="J36" t="s">
        <v>50</v>
      </c>
      <c r="L36">
        <v>-9.5961265559999998</v>
      </c>
      <c r="M36">
        <v>-2.7296714780000002</v>
      </c>
      <c r="N36">
        <v>-1.2943572999999999</v>
      </c>
    </row>
    <row r="37" spans="1:14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H37" t="s">
        <v>48</v>
      </c>
      <c r="J37" t="s">
        <v>50</v>
      </c>
      <c r="L37">
        <v>-0.78570747399999996</v>
      </c>
      <c r="M37">
        <v>0.35870170600000001</v>
      </c>
      <c r="N37">
        <v>0.69565010100000002</v>
      </c>
    </row>
    <row r="38" spans="1:14">
      <c r="A38" s="2">
        <v>46007</v>
      </c>
      <c r="B38" t="s">
        <v>90</v>
      </c>
      <c r="C38">
        <v>63549</v>
      </c>
      <c r="D38">
        <v>1557</v>
      </c>
      <c r="E38" t="s">
        <v>114</v>
      </c>
      <c r="F38" t="s">
        <v>65</v>
      </c>
      <c r="H38" t="s">
        <v>48</v>
      </c>
      <c r="I38" t="s">
        <v>115</v>
      </c>
      <c r="J38" t="s">
        <v>50</v>
      </c>
      <c r="L38">
        <v>-4.0745315550000001</v>
      </c>
      <c r="M38">
        <v>-0.58026886</v>
      </c>
      <c r="N38">
        <v>-5.5801391999999998E-2</v>
      </c>
    </row>
    <row r="39" spans="1:14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H39" t="s">
        <v>54</v>
      </c>
      <c r="J39" t="s">
        <v>50</v>
      </c>
      <c r="L39">
        <v>-2.3150367740000002</v>
      </c>
      <c r="M39">
        <v>0.43154525799999999</v>
      </c>
      <c r="N39">
        <v>1.363092422</v>
      </c>
    </row>
    <row r="40" spans="1:14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H40" t="s">
        <v>54</v>
      </c>
      <c r="J40" t="s">
        <v>50</v>
      </c>
      <c r="L40">
        <v>-1.3106231690000001</v>
      </c>
      <c r="M40">
        <v>-0.15095520000000001</v>
      </c>
      <c r="N40">
        <v>-8.7333678999999997E-2</v>
      </c>
    </row>
    <row r="41" spans="1:14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H41" t="s">
        <v>54</v>
      </c>
      <c r="I41" t="s">
        <v>119</v>
      </c>
      <c r="J41" t="s">
        <v>50</v>
      </c>
      <c r="L41">
        <v>-2.0778312680000002</v>
      </c>
      <c r="M41">
        <v>-0.64350509600000005</v>
      </c>
      <c r="N41">
        <v>0.81155967699999998</v>
      </c>
    </row>
    <row r="42" spans="1:14">
      <c r="A42" s="2">
        <v>46007</v>
      </c>
      <c r="B42" t="s">
        <v>90</v>
      </c>
      <c r="C42">
        <v>63546</v>
      </c>
      <c r="D42">
        <v>1561</v>
      </c>
      <c r="E42" t="s">
        <v>120</v>
      </c>
      <c r="F42" t="s">
        <v>65</v>
      </c>
      <c r="H42" t="s">
        <v>54</v>
      </c>
      <c r="I42" t="s">
        <v>121</v>
      </c>
      <c r="J42" t="s">
        <v>50</v>
      </c>
      <c r="L42">
        <v>-1.5772113800000001</v>
      </c>
      <c r="M42">
        <v>-1.2567768100000001</v>
      </c>
      <c r="N42">
        <v>-0.79079437299999999</v>
      </c>
    </row>
    <row r="43" spans="1:14">
      <c r="A43" s="2">
        <v>46008</v>
      </c>
      <c r="B43" t="s">
        <v>90</v>
      </c>
      <c r="C43">
        <v>63554</v>
      </c>
      <c r="D43">
        <v>1562</v>
      </c>
      <c r="E43" t="s">
        <v>91</v>
      </c>
      <c r="F43" t="s">
        <v>46</v>
      </c>
      <c r="H43" t="s">
        <v>54</v>
      </c>
      <c r="J43" t="s">
        <v>50</v>
      </c>
      <c r="L43">
        <v>-16.75872421</v>
      </c>
      <c r="M43">
        <v>-2.9647789000000002</v>
      </c>
      <c r="N43">
        <v>-2.505760193</v>
      </c>
    </row>
    <row r="44" spans="1:14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H44" t="s">
        <v>54</v>
      </c>
      <c r="I44" t="s">
        <v>123</v>
      </c>
      <c r="J44" t="s">
        <v>50</v>
      </c>
      <c r="L44">
        <v>-2.092996597</v>
      </c>
      <c r="M44">
        <v>-0.58237647999999997</v>
      </c>
      <c r="N44">
        <v>-0.700679779</v>
      </c>
    </row>
    <row r="45" spans="1:14">
      <c r="A45" s="2">
        <v>46008</v>
      </c>
      <c r="B45" t="s">
        <v>44</v>
      </c>
      <c r="C45">
        <v>63554</v>
      </c>
      <c r="D45">
        <v>1564</v>
      </c>
      <c r="E45" t="s">
        <v>124</v>
      </c>
      <c r="F45" t="s">
        <v>46</v>
      </c>
      <c r="H45" t="s">
        <v>54</v>
      </c>
      <c r="I45" t="s">
        <v>125</v>
      </c>
      <c r="J45" t="s">
        <v>50</v>
      </c>
      <c r="L45">
        <v>-1.3744735720000001</v>
      </c>
      <c r="M45">
        <v>-0.71834564199999995</v>
      </c>
      <c r="N45">
        <v>-0.56073570299999997</v>
      </c>
    </row>
    <row r="46" spans="1:14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H46" t="s">
        <v>48</v>
      </c>
      <c r="I46" t="s">
        <v>127</v>
      </c>
      <c r="J46" t="s">
        <v>50</v>
      </c>
      <c r="L46">
        <v>-3.1836032869999999</v>
      </c>
      <c r="M46">
        <v>5.1259995000000003E-2</v>
      </c>
      <c r="N46">
        <v>0.350536346</v>
      </c>
    </row>
    <row r="47" spans="1:14">
      <c r="A47" s="2">
        <v>46008</v>
      </c>
      <c r="B47" t="s">
        <v>90</v>
      </c>
      <c r="C47">
        <v>63555</v>
      </c>
      <c r="D47">
        <v>1566</v>
      </c>
      <c r="E47" t="s">
        <v>104</v>
      </c>
      <c r="F47" t="s">
        <v>46</v>
      </c>
      <c r="H47" t="s">
        <v>48</v>
      </c>
      <c r="J47" t="s">
        <v>128</v>
      </c>
      <c r="L47">
        <v>-4.9377307889999997</v>
      </c>
      <c r="M47">
        <v>-1.016222</v>
      </c>
      <c r="N47">
        <v>-0.39327621499999998</v>
      </c>
    </row>
    <row r="48" spans="1:14">
      <c r="A48" s="2">
        <v>46008</v>
      </c>
      <c r="B48" t="s">
        <v>90</v>
      </c>
      <c r="C48">
        <v>63555</v>
      </c>
      <c r="D48">
        <v>1567</v>
      </c>
      <c r="E48" t="s">
        <v>110</v>
      </c>
      <c r="F48" t="s">
        <v>46</v>
      </c>
      <c r="H48" t="s">
        <v>48</v>
      </c>
      <c r="J48" t="s">
        <v>50</v>
      </c>
      <c r="L48">
        <v>-0.54853057900000002</v>
      </c>
      <c r="M48">
        <v>-0.45697784400000002</v>
      </c>
      <c r="N48">
        <v>0.59473609900000002</v>
      </c>
    </row>
    <row r="49" spans="1:14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H49" t="s">
        <v>54</v>
      </c>
      <c r="J49" t="s">
        <v>50</v>
      </c>
      <c r="L49">
        <v>-7.1926975249999998</v>
      </c>
      <c r="M49">
        <v>-1.791086197</v>
      </c>
      <c r="N49">
        <v>-0.184194565</v>
      </c>
    </row>
    <row r="50" spans="1:14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H50" t="s">
        <v>54</v>
      </c>
      <c r="J50" t="s">
        <v>50</v>
      </c>
      <c r="L50">
        <v>-3.1471309660000002</v>
      </c>
      <c r="M50">
        <v>-1.148229599</v>
      </c>
      <c r="N50">
        <v>-0.248226166</v>
      </c>
    </row>
    <row r="51" spans="1:14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H51" t="s">
        <v>54</v>
      </c>
      <c r="I51" t="s">
        <v>130</v>
      </c>
      <c r="J51" t="s">
        <v>50</v>
      </c>
      <c r="L51">
        <v>-2.693883896</v>
      </c>
      <c r="M51">
        <v>-0.496618271</v>
      </c>
      <c r="N51">
        <v>-0.653202057</v>
      </c>
    </row>
    <row r="52" spans="1:14">
      <c r="A52" s="2">
        <v>46009</v>
      </c>
      <c r="B52" t="s">
        <v>44</v>
      </c>
      <c r="C52">
        <v>63556</v>
      </c>
      <c r="D52">
        <v>1571</v>
      </c>
      <c r="E52" t="s">
        <v>120</v>
      </c>
      <c r="F52" t="s">
        <v>46</v>
      </c>
      <c r="H52" t="s">
        <v>54</v>
      </c>
      <c r="J52" t="s">
        <v>128</v>
      </c>
      <c r="L52">
        <v>-5.7951259610000001</v>
      </c>
      <c r="M52">
        <v>-2.1177577969999999</v>
      </c>
      <c r="N52">
        <v>-2.4580936430000002</v>
      </c>
    </row>
    <row r="53" spans="1:14">
      <c r="A53" s="2">
        <v>46009</v>
      </c>
      <c r="B53" t="s">
        <v>44</v>
      </c>
      <c r="C53">
        <v>63557</v>
      </c>
      <c r="D53">
        <v>1572</v>
      </c>
      <c r="E53" t="s">
        <v>131</v>
      </c>
      <c r="F53" t="s">
        <v>46</v>
      </c>
      <c r="H53" t="s">
        <v>48</v>
      </c>
      <c r="I53" t="s">
        <v>132</v>
      </c>
      <c r="J53" t="s">
        <v>50</v>
      </c>
      <c r="L53">
        <v>-1.6759147640000001</v>
      </c>
      <c r="M53">
        <v>-0.82142257699999999</v>
      </c>
      <c r="N53">
        <v>-0.18405342099999999</v>
      </c>
    </row>
    <row r="54" spans="1:14">
      <c r="A54" s="2">
        <v>46010</v>
      </c>
      <c r="B54" t="s">
        <v>69</v>
      </c>
      <c r="C54">
        <v>63547</v>
      </c>
      <c r="D54">
        <v>1573</v>
      </c>
      <c r="E54" t="s">
        <v>133</v>
      </c>
      <c r="F54" t="s">
        <v>65</v>
      </c>
      <c r="H54" t="s">
        <v>48</v>
      </c>
      <c r="I54" t="s">
        <v>134</v>
      </c>
      <c r="J54" t="s">
        <v>50</v>
      </c>
      <c r="L54">
        <v>-3.1041584009999998</v>
      </c>
      <c r="M54">
        <v>-1.2578449249999999</v>
      </c>
      <c r="N54">
        <v>-0.55830001799999995</v>
      </c>
    </row>
    <row r="55" spans="1:14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H55" t="s">
        <v>54</v>
      </c>
      <c r="I55" t="s">
        <v>135</v>
      </c>
      <c r="J55" t="s">
        <v>50</v>
      </c>
      <c r="L55">
        <v>-1.7913837429999999</v>
      </c>
      <c r="M55">
        <v>-0.14343452500000001</v>
      </c>
      <c r="N55">
        <v>0.25945854200000001</v>
      </c>
    </row>
    <row r="56" spans="1:14">
      <c r="A56" s="2">
        <v>46010</v>
      </c>
      <c r="B56" t="s">
        <v>90</v>
      </c>
      <c r="C56">
        <v>63548</v>
      </c>
      <c r="D56">
        <v>1575</v>
      </c>
      <c r="E56" t="s">
        <v>87</v>
      </c>
      <c r="F56" t="s">
        <v>65</v>
      </c>
      <c r="H56" t="s">
        <v>54</v>
      </c>
      <c r="I56" t="s">
        <v>136</v>
      </c>
      <c r="J56" t="s">
        <v>50</v>
      </c>
      <c r="L56">
        <v>5.3186417E-2</v>
      </c>
      <c r="M56">
        <v>0.23629188500000001</v>
      </c>
      <c r="N56">
        <v>-0.112415314</v>
      </c>
    </row>
    <row r="57" spans="1:14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H57" t="s">
        <v>54</v>
      </c>
      <c r="I57" t="s">
        <v>138</v>
      </c>
      <c r="J57" t="s">
        <v>50</v>
      </c>
      <c r="L57">
        <v>-3.9610538480000002</v>
      </c>
      <c r="M57">
        <v>9.7784042000000002E-2</v>
      </c>
      <c r="N57">
        <v>7.0499419999999993E-2</v>
      </c>
    </row>
    <row r="58" spans="1:14">
      <c r="A58" s="2">
        <v>46010</v>
      </c>
      <c r="B58" t="s">
        <v>90</v>
      </c>
      <c r="C58">
        <v>63548</v>
      </c>
      <c r="D58">
        <v>1577</v>
      </c>
      <c r="E58" t="s">
        <v>110</v>
      </c>
      <c r="F58" t="s">
        <v>65</v>
      </c>
      <c r="H58" t="s">
        <v>54</v>
      </c>
      <c r="I58" t="s">
        <v>139</v>
      </c>
      <c r="J58" t="s">
        <v>50</v>
      </c>
      <c r="L58">
        <v>-2.1059684750000001</v>
      </c>
      <c r="M58">
        <v>-0.122325897</v>
      </c>
      <c r="N58">
        <v>0.409599304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B2FF-28BB-4D18-A1A0-6FDBC9FDE752}">
  <sheetPr>
    <tabColor rgb="FFFFF48C"/>
  </sheetPr>
  <dimension ref="A1:N58"/>
  <sheetViews>
    <sheetView topLeftCell="A50" workbookViewId="0">
      <selection activeCell="M62" sqref="M62"/>
    </sheetView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2"/>
      <c r="L1" s="22" t="s">
        <v>268</v>
      </c>
      <c r="M1" s="22" t="s">
        <v>269</v>
      </c>
      <c r="N1" s="22" t="s">
        <v>270</v>
      </c>
    </row>
    <row r="2" spans="1:14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H2" t="s">
        <v>48</v>
      </c>
      <c r="I2" t="s">
        <v>49</v>
      </c>
      <c r="J2" t="s">
        <v>50</v>
      </c>
      <c r="K2" s="22"/>
      <c r="L2" s="22">
        <v>-2.42184</v>
      </c>
      <c r="M2" s="22">
        <v>-1.1400999999999999</v>
      </c>
      <c r="N2" s="22">
        <v>-0.13013</v>
      </c>
    </row>
    <row r="3" spans="1:14">
      <c r="A3" s="2">
        <v>45979</v>
      </c>
      <c r="B3" t="s">
        <v>44</v>
      </c>
      <c r="C3">
        <v>63562</v>
      </c>
      <c r="D3">
        <v>1521</v>
      </c>
      <c r="E3" t="s">
        <v>51</v>
      </c>
      <c r="F3" t="s">
        <v>46</v>
      </c>
      <c r="H3" t="s">
        <v>48</v>
      </c>
      <c r="I3" t="s">
        <v>52</v>
      </c>
      <c r="J3" t="s">
        <v>50</v>
      </c>
      <c r="K3" s="22"/>
      <c r="L3" s="22">
        <v>-4.5315000000000003</v>
      </c>
      <c r="M3" s="22">
        <v>-1.76966</v>
      </c>
      <c r="N3" s="22">
        <v>-1.0198499999999999</v>
      </c>
    </row>
    <row r="4" spans="1:14">
      <c r="A4" s="2">
        <v>45979</v>
      </c>
      <c r="B4" t="s">
        <v>44</v>
      </c>
      <c r="C4">
        <v>63563</v>
      </c>
      <c r="D4">
        <v>1522</v>
      </c>
      <c r="E4" t="s">
        <v>53</v>
      </c>
      <c r="F4" t="s">
        <v>46</v>
      </c>
      <c r="H4" t="s">
        <v>54</v>
      </c>
      <c r="I4" t="s">
        <v>55</v>
      </c>
      <c r="J4" t="s">
        <v>50</v>
      </c>
      <c r="K4" s="22"/>
      <c r="L4" s="22">
        <v>-0.41547000000000001</v>
      </c>
      <c r="M4" s="22">
        <v>-0.36969000000000002</v>
      </c>
      <c r="N4" s="22">
        <v>0.285028</v>
      </c>
    </row>
    <row r="5" spans="1:14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H5" t="s">
        <v>54</v>
      </c>
      <c r="I5" t="s">
        <v>58</v>
      </c>
      <c r="J5" t="s">
        <v>50</v>
      </c>
      <c r="K5" s="25" t="s">
        <v>59</v>
      </c>
      <c r="L5" s="22"/>
      <c r="M5" s="22"/>
      <c r="N5" s="22"/>
    </row>
    <row r="6" spans="1:14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H6" t="s">
        <v>54</v>
      </c>
      <c r="I6" t="s">
        <v>61</v>
      </c>
      <c r="J6" t="s">
        <v>50</v>
      </c>
      <c r="K6" s="24"/>
      <c r="L6" s="22">
        <v>-4.5042299999999997</v>
      </c>
      <c r="M6" s="22">
        <v>-2.09334</v>
      </c>
      <c r="N6" s="22">
        <v>-0.91647999999999996</v>
      </c>
    </row>
    <row r="7" spans="1:14">
      <c r="A7" s="2">
        <v>45980</v>
      </c>
      <c r="B7" t="s">
        <v>44</v>
      </c>
      <c r="C7">
        <v>63564</v>
      </c>
      <c r="D7">
        <v>1525</v>
      </c>
      <c r="E7" t="s">
        <v>62</v>
      </c>
      <c r="F7" t="s">
        <v>46</v>
      </c>
      <c r="H7" t="s">
        <v>54</v>
      </c>
      <c r="J7" t="s">
        <v>50</v>
      </c>
      <c r="K7" s="24"/>
      <c r="L7" s="22">
        <v>-7.4535</v>
      </c>
      <c r="M7" s="22">
        <v>-5.1341599999999996</v>
      </c>
      <c r="N7" s="22">
        <v>-1.57517</v>
      </c>
    </row>
    <row r="8" spans="1:14">
      <c r="A8" s="2">
        <v>45980</v>
      </c>
      <c r="B8" t="s">
        <v>44</v>
      </c>
      <c r="C8">
        <v>63565</v>
      </c>
      <c r="D8">
        <v>1526</v>
      </c>
      <c r="E8" t="s">
        <v>63</v>
      </c>
      <c r="F8" t="s">
        <v>46</v>
      </c>
      <c r="H8" t="s">
        <v>48</v>
      </c>
      <c r="J8" t="s">
        <v>50</v>
      </c>
      <c r="K8" s="24"/>
      <c r="L8" s="22">
        <v>-7.5172699999999999</v>
      </c>
      <c r="M8" s="22">
        <v>-2.4361000000000002</v>
      </c>
      <c r="N8" s="22">
        <v>-0.72014999999999996</v>
      </c>
    </row>
    <row r="9" spans="1:14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H9" t="s">
        <v>48</v>
      </c>
      <c r="J9" t="s">
        <v>50</v>
      </c>
      <c r="K9" s="24"/>
      <c r="L9" s="22">
        <v>-5.68621</v>
      </c>
      <c r="M9" s="22">
        <v>-1.7646999999999999</v>
      </c>
      <c r="N9" s="22">
        <v>-0.84194999999999998</v>
      </c>
    </row>
    <row r="10" spans="1:14">
      <c r="A10" s="2">
        <v>45981</v>
      </c>
      <c r="B10" t="s">
        <v>44</v>
      </c>
      <c r="C10">
        <v>63552</v>
      </c>
      <c r="D10">
        <v>1528</v>
      </c>
      <c r="E10" t="s">
        <v>51</v>
      </c>
      <c r="F10" t="s">
        <v>65</v>
      </c>
      <c r="H10" t="s">
        <v>48</v>
      </c>
      <c r="I10" t="s">
        <v>66</v>
      </c>
      <c r="J10" t="s">
        <v>50</v>
      </c>
      <c r="K10" s="24"/>
      <c r="L10" s="22">
        <v>-1.63239</v>
      </c>
      <c r="M10" s="22">
        <v>-0.44219999999999998</v>
      </c>
      <c r="N10" s="22">
        <v>0.49798599999999998</v>
      </c>
    </row>
    <row r="11" spans="1:14">
      <c r="A11" s="2">
        <v>45981</v>
      </c>
      <c r="B11" t="s">
        <v>44</v>
      </c>
      <c r="C11">
        <v>63553</v>
      </c>
      <c r="D11">
        <v>1529</v>
      </c>
      <c r="E11" t="s">
        <v>53</v>
      </c>
      <c r="F11" t="s">
        <v>65</v>
      </c>
      <c r="H11" t="s">
        <v>54</v>
      </c>
      <c r="I11" t="s">
        <v>67</v>
      </c>
      <c r="J11" t="s">
        <v>50</v>
      </c>
      <c r="K11" s="24"/>
      <c r="L11" s="22">
        <v>-4.7777799999999999</v>
      </c>
      <c r="M11" s="22">
        <v>-1.6497299999999999</v>
      </c>
      <c r="N11" s="22">
        <v>-0.59082000000000001</v>
      </c>
    </row>
    <row r="12" spans="1:14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H12" t="s">
        <v>54</v>
      </c>
      <c r="J12" t="s">
        <v>50</v>
      </c>
      <c r="K12" s="1"/>
      <c r="L12">
        <v>-3.1047954560000002</v>
      </c>
      <c r="M12">
        <v>-2.784360886</v>
      </c>
      <c r="N12">
        <v>-1.5762138370000001</v>
      </c>
    </row>
    <row r="13" spans="1:14">
      <c r="A13" s="2">
        <v>45985</v>
      </c>
      <c r="B13" t="s">
        <v>69</v>
      </c>
      <c r="C13">
        <v>63550</v>
      </c>
      <c r="D13">
        <v>1531</v>
      </c>
      <c r="E13" t="s">
        <v>68</v>
      </c>
      <c r="F13" t="s">
        <v>65</v>
      </c>
      <c r="H13" t="s">
        <v>54</v>
      </c>
      <c r="J13" t="s">
        <v>50</v>
      </c>
      <c r="K13" s="1"/>
      <c r="L13">
        <v>-9.2596187590000003</v>
      </c>
      <c r="M13">
        <v>-9.2901363369999999</v>
      </c>
      <c r="N13">
        <v>-2.2209033969999998</v>
      </c>
    </row>
    <row r="14" spans="1:14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H14" t="s">
        <v>54</v>
      </c>
      <c r="I14" t="s">
        <v>73</v>
      </c>
      <c r="J14" t="s">
        <v>50</v>
      </c>
      <c r="K14" s="1"/>
      <c r="L14">
        <v>-7.2644577029999997</v>
      </c>
      <c r="M14">
        <v>-5.1129684449999999</v>
      </c>
      <c r="N14">
        <v>-0.7284832</v>
      </c>
    </row>
    <row r="15" spans="1:14">
      <c r="A15" s="2">
        <v>45985</v>
      </c>
      <c r="B15" t="s">
        <v>69</v>
      </c>
      <c r="C15">
        <v>63550</v>
      </c>
      <c r="D15">
        <v>1533</v>
      </c>
      <c r="E15" t="s">
        <v>74</v>
      </c>
      <c r="F15" t="s">
        <v>65</v>
      </c>
      <c r="H15" t="s">
        <v>54</v>
      </c>
      <c r="J15" t="s">
        <v>50</v>
      </c>
      <c r="K15" s="1"/>
      <c r="L15">
        <v>-8.5939064030000001</v>
      </c>
      <c r="M15">
        <v>-6.3813819890000003</v>
      </c>
      <c r="N15">
        <v>0.33731651299999998</v>
      </c>
    </row>
    <row r="16" spans="1:14">
      <c r="A16" s="2">
        <v>45985</v>
      </c>
      <c r="B16" t="s">
        <v>44</v>
      </c>
      <c r="C16">
        <v>63551</v>
      </c>
      <c r="D16">
        <v>1534</v>
      </c>
      <c r="E16" t="s">
        <v>76</v>
      </c>
      <c r="F16" t="s">
        <v>65</v>
      </c>
      <c r="H16" t="s">
        <v>48</v>
      </c>
      <c r="I16" t="s">
        <v>77</v>
      </c>
      <c r="J16" t="s">
        <v>50</v>
      </c>
      <c r="K16" s="1"/>
      <c r="L16">
        <v>-1.411031723</v>
      </c>
      <c r="M16">
        <v>-0.34291648899999999</v>
      </c>
      <c r="N16">
        <v>0.12630081200000001</v>
      </c>
    </row>
    <row r="17" spans="1:14">
      <c r="A17" s="2">
        <v>46000</v>
      </c>
      <c r="B17" t="s">
        <v>69</v>
      </c>
      <c r="C17">
        <v>63542</v>
      </c>
      <c r="D17">
        <v>1536</v>
      </c>
      <c r="E17" t="s">
        <v>78</v>
      </c>
      <c r="F17" t="s">
        <v>65</v>
      </c>
      <c r="H17" t="s">
        <v>48</v>
      </c>
      <c r="I17" t="s">
        <v>79</v>
      </c>
      <c r="J17" t="s">
        <v>80</v>
      </c>
      <c r="K17" s="1"/>
      <c r="L17">
        <v>-10.531652449999999</v>
      </c>
      <c r="M17">
        <v>-7.8461055760000002</v>
      </c>
      <c r="N17">
        <v>-1.1876029969999999</v>
      </c>
    </row>
    <row r="18" spans="1:14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H18" t="s">
        <v>54</v>
      </c>
      <c r="I18" t="s">
        <v>81</v>
      </c>
      <c r="J18" t="s">
        <v>50</v>
      </c>
      <c r="K18" s="1"/>
      <c r="L18">
        <v>-0.89201164200000005</v>
      </c>
      <c r="M18">
        <v>-0.43424797100000001</v>
      </c>
      <c r="N18">
        <v>-0.73923301699999999</v>
      </c>
    </row>
    <row r="19" spans="1:14">
      <c r="A19" s="2">
        <v>46000</v>
      </c>
      <c r="B19" t="s">
        <v>69</v>
      </c>
      <c r="C19">
        <v>63543</v>
      </c>
      <c r="D19">
        <v>1538</v>
      </c>
      <c r="E19" t="s">
        <v>82</v>
      </c>
      <c r="F19" t="s">
        <v>65</v>
      </c>
      <c r="H19" t="s">
        <v>54</v>
      </c>
      <c r="I19" t="s">
        <v>83</v>
      </c>
      <c r="J19" t="s">
        <v>50</v>
      </c>
      <c r="K19" s="1"/>
      <c r="L19">
        <v>-11.490787510000001</v>
      </c>
      <c r="M19">
        <v>-9.2172279360000005</v>
      </c>
      <c r="N19">
        <v>-0.91496086099999996</v>
      </c>
    </row>
    <row r="20" spans="1:14">
      <c r="A20" s="2">
        <v>46000</v>
      </c>
      <c r="B20" t="s">
        <v>44</v>
      </c>
      <c r="C20">
        <v>63543</v>
      </c>
      <c r="D20">
        <v>1539</v>
      </c>
      <c r="E20" t="s">
        <v>84</v>
      </c>
      <c r="F20" t="s">
        <v>65</v>
      </c>
      <c r="H20" t="s">
        <v>54</v>
      </c>
      <c r="I20" t="s">
        <v>85</v>
      </c>
      <c r="J20" t="s">
        <v>50</v>
      </c>
      <c r="K20" s="1"/>
      <c r="L20">
        <v>-7.1384353640000002</v>
      </c>
      <c r="M20">
        <v>-3.3847732540000002</v>
      </c>
      <c r="N20">
        <v>-0.95356368999999996</v>
      </c>
    </row>
    <row r="21" spans="1:14">
      <c r="A21" s="2">
        <v>46001</v>
      </c>
      <c r="B21" t="s">
        <v>69</v>
      </c>
      <c r="C21">
        <v>63558</v>
      </c>
      <c r="D21">
        <v>1540</v>
      </c>
      <c r="E21" t="s">
        <v>86</v>
      </c>
      <c r="F21" t="s">
        <v>46</v>
      </c>
      <c r="H21" t="s">
        <v>54</v>
      </c>
      <c r="J21" t="s">
        <v>50</v>
      </c>
      <c r="K21" s="1"/>
      <c r="L21">
        <v>-2.3032684329999999</v>
      </c>
      <c r="M21">
        <v>-1.1741180419999999</v>
      </c>
      <c r="N21">
        <v>-0.239374161</v>
      </c>
    </row>
    <row r="22" spans="1:14">
      <c r="A22" s="2">
        <v>46001</v>
      </c>
      <c r="B22" t="s">
        <v>69</v>
      </c>
      <c r="C22">
        <v>63559</v>
      </c>
      <c r="D22">
        <v>1541</v>
      </c>
      <c r="E22" t="s">
        <v>87</v>
      </c>
      <c r="F22" t="s">
        <v>46</v>
      </c>
      <c r="H22" t="s">
        <v>48</v>
      </c>
      <c r="I22" t="s">
        <v>88</v>
      </c>
      <c r="J22" t="s">
        <v>50</v>
      </c>
      <c r="K22" s="1"/>
      <c r="L22">
        <v>-1.739805222</v>
      </c>
      <c r="M22">
        <v>-0.97686576800000002</v>
      </c>
      <c r="N22">
        <v>-0.20810508699999999</v>
      </c>
    </row>
    <row r="23" spans="1:14">
      <c r="A23" s="2">
        <v>46001</v>
      </c>
      <c r="B23" t="s">
        <v>90</v>
      </c>
      <c r="C23">
        <v>63559</v>
      </c>
      <c r="D23">
        <v>1542</v>
      </c>
      <c r="E23" t="s">
        <v>91</v>
      </c>
      <c r="F23" t="s">
        <v>46</v>
      </c>
      <c r="H23" t="s">
        <v>48</v>
      </c>
      <c r="J23" t="s">
        <v>50</v>
      </c>
      <c r="K23" s="1"/>
      <c r="L23">
        <v>-0.57132530199999998</v>
      </c>
      <c r="M23">
        <v>-0.54080772399999999</v>
      </c>
      <c r="N23">
        <v>0.91296386699999998</v>
      </c>
    </row>
    <row r="24" spans="1:14">
      <c r="A24" s="2">
        <v>46002</v>
      </c>
      <c r="B24" t="s">
        <v>69</v>
      </c>
      <c r="C24">
        <v>63560</v>
      </c>
      <c r="D24">
        <v>1543</v>
      </c>
      <c r="E24" t="s">
        <v>93</v>
      </c>
      <c r="F24" t="s">
        <v>46</v>
      </c>
      <c r="H24" t="s">
        <v>54</v>
      </c>
      <c r="I24" t="s">
        <v>94</v>
      </c>
      <c r="J24" t="s">
        <v>50</v>
      </c>
      <c r="K24" s="1"/>
      <c r="L24">
        <v>-1.9469394680000001</v>
      </c>
      <c r="M24">
        <v>-1.5807285310000001</v>
      </c>
      <c r="N24">
        <v>-0.53083992000000002</v>
      </c>
    </row>
    <row r="25" spans="1:14">
      <c r="A25" s="2">
        <v>46002</v>
      </c>
      <c r="B25" t="s">
        <v>69</v>
      </c>
      <c r="C25">
        <v>63561</v>
      </c>
      <c r="D25">
        <v>1544</v>
      </c>
      <c r="E25" t="s">
        <v>95</v>
      </c>
      <c r="F25" t="s">
        <v>46</v>
      </c>
      <c r="H25" t="s">
        <v>48</v>
      </c>
      <c r="I25" t="s">
        <v>96</v>
      </c>
      <c r="J25" t="s">
        <v>50</v>
      </c>
      <c r="K25" s="1"/>
      <c r="L25">
        <v>-2.7099514010000001</v>
      </c>
      <c r="M25">
        <v>0.49439430200000001</v>
      </c>
      <c r="N25">
        <v>-1.207130432</v>
      </c>
    </row>
    <row r="26" spans="1:14">
      <c r="A26" s="2">
        <v>46002</v>
      </c>
      <c r="B26" t="s">
        <v>44</v>
      </c>
      <c r="C26">
        <v>63561</v>
      </c>
      <c r="D26">
        <v>1545</v>
      </c>
      <c r="E26" t="s">
        <v>97</v>
      </c>
      <c r="F26" t="s">
        <v>46</v>
      </c>
      <c r="H26" t="s">
        <v>48</v>
      </c>
      <c r="J26" t="s">
        <v>50</v>
      </c>
      <c r="K26" s="1"/>
      <c r="L26">
        <v>-11.96302032</v>
      </c>
      <c r="M26">
        <v>-3.540168762</v>
      </c>
      <c r="N26">
        <v>-1.722583771</v>
      </c>
    </row>
    <row r="27" spans="1:14">
      <c r="A27" s="2">
        <v>46002</v>
      </c>
      <c r="B27" t="s">
        <v>90</v>
      </c>
      <c r="C27">
        <v>63560</v>
      </c>
      <c r="D27">
        <v>1546</v>
      </c>
      <c r="F27" t="s">
        <v>46</v>
      </c>
      <c r="H27" t="s">
        <v>48</v>
      </c>
      <c r="K27" s="26" t="s">
        <v>59</v>
      </c>
    </row>
    <row r="28" spans="1:14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H28" t="s">
        <v>54</v>
      </c>
      <c r="I28" t="s">
        <v>100</v>
      </c>
      <c r="J28" t="s">
        <v>50</v>
      </c>
      <c r="K28" s="1"/>
      <c r="L28">
        <v>-2.9493999479999999</v>
      </c>
      <c r="M28">
        <v>-1.2556743619999999</v>
      </c>
      <c r="N28">
        <v>-0.45042228699999998</v>
      </c>
    </row>
    <row r="29" spans="1:14">
      <c r="A29" s="2">
        <v>46003</v>
      </c>
      <c r="B29" t="s">
        <v>101</v>
      </c>
      <c r="C29">
        <v>63544</v>
      </c>
      <c r="D29">
        <v>1548</v>
      </c>
      <c r="E29" t="s">
        <v>102</v>
      </c>
      <c r="F29" t="s">
        <v>65</v>
      </c>
      <c r="H29" t="s">
        <v>54</v>
      </c>
      <c r="I29" t="s">
        <v>103</v>
      </c>
      <c r="J29" t="s">
        <v>50</v>
      </c>
      <c r="K29" s="1"/>
      <c r="L29">
        <v>-6.7077617649999999</v>
      </c>
      <c r="M29">
        <v>-5.1513652800000003</v>
      </c>
      <c r="N29">
        <v>-2.9095420839999999</v>
      </c>
    </row>
    <row r="30" spans="1:14">
      <c r="A30" s="2">
        <v>46003</v>
      </c>
      <c r="B30" t="s">
        <v>90</v>
      </c>
      <c r="C30">
        <v>63544</v>
      </c>
      <c r="D30">
        <v>1549</v>
      </c>
      <c r="E30" t="s">
        <v>104</v>
      </c>
      <c r="F30" t="s">
        <v>65</v>
      </c>
      <c r="H30" t="s">
        <v>54</v>
      </c>
      <c r="J30" t="s">
        <v>80</v>
      </c>
      <c r="K30" s="1"/>
      <c r="L30">
        <v>-6.4010982509999996</v>
      </c>
      <c r="M30">
        <v>-6.0501461030000003</v>
      </c>
      <c r="N30">
        <v>-1.9059963230000001</v>
      </c>
    </row>
    <row r="31" spans="1:14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H31" t="s">
        <v>48</v>
      </c>
      <c r="I31" t="s">
        <v>106</v>
      </c>
      <c r="J31" t="s">
        <v>50</v>
      </c>
      <c r="K31" s="1"/>
      <c r="L31">
        <v>-4.5531463619999997</v>
      </c>
      <c r="M31">
        <v>-2.2338104250000002</v>
      </c>
      <c r="N31">
        <v>-1.5021495819999999</v>
      </c>
    </row>
    <row r="32" spans="1:14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H32" t="s">
        <v>108</v>
      </c>
      <c r="I32" t="s">
        <v>109</v>
      </c>
      <c r="J32" t="s">
        <v>50</v>
      </c>
      <c r="K32" s="1"/>
      <c r="L32">
        <v>-8.4093418119999992</v>
      </c>
      <c r="M32">
        <v>-4.9761142730000003</v>
      </c>
      <c r="N32">
        <v>-1.263053894</v>
      </c>
    </row>
    <row r="33" spans="1:14">
      <c r="A33" s="2">
        <v>46003</v>
      </c>
      <c r="B33" t="s">
        <v>90</v>
      </c>
      <c r="C33">
        <v>63545</v>
      </c>
      <c r="D33">
        <v>1552</v>
      </c>
      <c r="E33" t="s">
        <v>110</v>
      </c>
      <c r="F33" t="s">
        <v>65</v>
      </c>
      <c r="H33" t="s">
        <v>48</v>
      </c>
      <c r="J33" t="s">
        <v>50</v>
      </c>
      <c r="K33" s="1"/>
      <c r="L33">
        <v>-9.6721572879999993</v>
      </c>
      <c r="M33">
        <v>-2.4394912720000002</v>
      </c>
      <c r="N33">
        <v>-0.99218940700000002</v>
      </c>
    </row>
    <row r="34" spans="1:14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H34" t="s">
        <v>48</v>
      </c>
      <c r="J34" t="s">
        <v>50</v>
      </c>
      <c r="K34" s="1"/>
      <c r="L34">
        <v>-5.6365661620000003</v>
      </c>
      <c r="M34">
        <v>-1.821868896</v>
      </c>
      <c r="N34">
        <v>-2.4610042569999999</v>
      </c>
    </row>
    <row r="35" spans="1:14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H35" t="s">
        <v>48</v>
      </c>
      <c r="J35" t="s">
        <v>50</v>
      </c>
      <c r="K35" s="1"/>
      <c r="L35">
        <v>-2.5866146090000002</v>
      </c>
      <c r="M35">
        <v>-1.7321224209999999</v>
      </c>
      <c r="N35">
        <v>-0.57777214099999996</v>
      </c>
    </row>
    <row r="36" spans="1:14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H36" t="s">
        <v>48</v>
      </c>
      <c r="I36" t="s">
        <v>112</v>
      </c>
      <c r="J36" t="s">
        <v>50</v>
      </c>
      <c r="K36" s="1"/>
      <c r="L36">
        <v>-16.00861359</v>
      </c>
      <c r="M36">
        <v>-9.0963821409999994</v>
      </c>
      <c r="N36">
        <v>-4.3102493290000004</v>
      </c>
    </row>
    <row r="37" spans="1:14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H37" t="s">
        <v>48</v>
      </c>
      <c r="J37" t="s">
        <v>50</v>
      </c>
      <c r="K37" s="1"/>
      <c r="L37">
        <v>-7.2374515529999996</v>
      </c>
      <c r="M37">
        <v>-5.7268314360000003</v>
      </c>
      <c r="N37">
        <v>-0.53972816499999998</v>
      </c>
    </row>
    <row r="38" spans="1:14">
      <c r="A38" s="2">
        <v>46007</v>
      </c>
      <c r="B38" t="s">
        <v>90</v>
      </c>
      <c r="C38">
        <v>63549</v>
      </c>
      <c r="D38">
        <v>1557</v>
      </c>
      <c r="E38" t="s">
        <v>114</v>
      </c>
      <c r="F38" t="s">
        <v>65</v>
      </c>
      <c r="H38" t="s">
        <v>48</v>
      </c>
      <c r="I38" t="s">
        <v>115</v>
      </c>
      <c r="J38" t="s">
        <v>50</v>
      </c>
      <c r="K38" s="1"/>
      <c r="L38">
        <v>-6.9059391019999996</v>
      </c>
      <c r="M38">
        <v>-2.4198551180000001</v>
      </c>
      <c r="N38">
        <v>-0.846876144</v>
      </c>
    </row>
    <row r="39" spans="1:14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H39" t="s">
        <v>54</v>
      </c>
      <c r="J39" t="s">
        <v>50</v>
      </c>
      <c r="K39" s="1"/>
      <c r="L39">
        <v>-7.1058654790000002</v>
      </c>
      <c r="M39">
        <v>-4.435577393</v>
      </c>
      <c r="N39">
        <v>-0.24398613</v>
      </c>
    </row>
    <row r="40" spans="1:14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H40" t="s">
        <v>54</v>
      </c>
      <c r="J40" t="s">
        <v>50</v>
      </c>
      <c r="K40" s="1"/>
      <c r="L40">
        <v>-3.4968433380000001</v>
      </c>
      <c r="M40">
        <v>-1.2843189239999999</v>
      </c>
      <c r="N40">
        <v>-0.45279502900000002</v>
      </c>
    </row>
    <row r="41" spans="1:14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H41" t="s">
        <v>54</v>
      </c>
      <c r="I41" t="s">
        <v>119</v>
      </c>
      <c r="J41" t="s">
        <v>50</v>
      </c>
      <c r="K41" s="1"/>
      <c r="L41">
        <v>-4.1543006900000004</v>
      </c>
      <c r="M41">
        <v>-2.4605751040000001</v>
      </c>
      <c r="N41">
        <v>-0.59759139999999999</v>
      </c>
    </row>
    <row r="42" spans="1:14">
      <c r="A42" s="2">
        <v>46007</v>
      </c>
      <c r="B42" t="s">
        <v>90</v>
      </c>
      <c r="C42">
        <v>63546</v>
      </c>
      <c r="D42">
        <v>1561</v>
      </c>
      <c r="E42" t="s">
        <v>120</v>
      </c>
      <c r="F42" t="s">
        <v>65</v>
      </c>
      <c r="H42" t="s">
        <v>54</v>
      </c>
      <c r="I42" t="s">
        <v>121</v>
      </c>
      <c r="J42" t="s">
        <v>50</v>
      </c>
      <c r="K42" s="1"/>
      <c r="L42">
        <v>-1.9637718200000001</v>
      </c>
      <c r="M42">
        <v>-1.7348899840000001</v>
      </c>
      <c r="N42">
        <v>-1.6492748260000001</v>
      </c>
    </row>
    <row r="43" spans="1:14">
      <c r="A43" s="2">
        <v>46008</v>
      </c>
      <c r="B43" t="s">
        <v>90</v>
      </c>
      <c r="C43">
        <v>63554</v>
      </c>
      <c r="D43">
        <v>1562</v>
      </c>
      <c r="E43" t="s">
        <v>91</v>
      </c>
      <c r="F43" t="s">
        <v>46</v>
      </c>
      <c r="H43" t="s">
        <v>54</v>
      </c>
      <c r="J43" t="s">
        <v>50</v>
      </c>
      <c r="K43" s="1"/>
      <c r="L43">
        <v>-6.4359722140000004</v>
      </c>
      <c r="M43">
        <v>3.7416400909999998</v>
      </c>
      <c r="N43">
        <v>4.5425205230000003</v>
      </c>
    </row>
    <row r="44" spans="1:14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H44" t="s">
        <v>54</v>
      </c>
      <c r="I44" t="s">
        <v>123</v>
      </c>
      <c r="J44" t="s">
        <v>50</v>
      </c>
      <c r="K44" s="1"/>
      <c r="L44">
        <v>-4.2642078400000001</v>
      </c>
      <c r="M44">
        <v>-2.7230701449999999</v>
      </c>
      <c r="N44">
        <v>-0.90778923</v>
      </c>
    </row>
    <row r="45" spans="1:14">
      <c r="A45" s="2">
        <v>46008</v>
      </c>
      <c r="B45" t="s">
        <v>44</v>
      </c>
      <c r="C45">
        <v>63554</v>
      </c>
      <c r="D45">
        <v>1564</v>
      </c>
      <c r="E45" t="s">
        <v>124</v>
      </c>
      <c r="F45" t="s">
        <v>46</v>
      </c>
      <c r="H45" t="s">
        <v>54</v>
      </c>
      <c r="I45" t="s">
        <v>125</v>
      </c>
      <c r="J45" t="s">
        <v>50</v>
      </c>
      <c r="K45" s="1"/>
      <c r="L45">
        <v>-3.0368118289999999</v>
      </c>
      <c r="M45">
        <v>-2.0755081180000001</v>
      </c>
      <c r="N45">
        <v>-0.40763854999999999</v>
      </c>
    </row>
    <row r="46" spans="1:14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H46" t="s">
        <v>48</v>
      </c>
      <c r="I46" t="s">
        <v>127</v>
      </c>
      <c r="J46" t="s">
        <v>50</v>
      </c>
      <c r="K46" s="1"/>
      <c r="L46">
        <v>-6.491662979</v>
      </c>
      <c r="M46">
        <v>-5.33199501</v>
      </c>
      <c r="N46">
        <v>-3.2115306850000001</v>
      </c>
    </row>
    <row r="47" spans="1:14">
      <c r="A47" s="2">
        <v>46008</v>
      </c>
      <c r="B47" t="s">
        <v>90</v>
      </c>
      <c r="C47">
        <v>63555</v>
      </c>
      <c r="D47">
        <v>1566</v>
      </c>
      <c r="E47" t="s">
        <v>104</v>
      </c>
      <c r="F47" t="s">
        <v>46</v>
      </c>
      <c r="H47" t="s">
        <v>48</v>
      </c>
      <c r="J47" t="s">
        <v>128</v>
      </c>
      <c r="K47" s="1"/>
      <c r="L47">
        <v>-4.0666866300000004</v>
      </c>
      <c r="M47">
        <v>-1.030187607</v>
      </c>
      <c r="N47">
        <v>-0.77745056199999996</v>
      </c>
    </row>
    <row r="48" spans="1:14">
      <c r="A48" s="2">
        <v>46008</v>
      </c>
      <c r="B48" t="s">
        <v>90</v>
      </c>
      <c r="C48">
        <v>63555</v>
      </c>
      <c r="D48">
        <v>1567</v>
      </c>
      <c r="E48" t="s">
        <v>110</v>
      </c>
      <c r="F48" t="s">
        <v>46</v>
      </c>
      <c r="H48" t="s">
        <v>48</v>
      </c>
      <c r="J48" t="s">
        <v>50</v>
      </c>
      <c r="K48" s="1"/>
      <c r="L48">
        <v>-1.215524673</v>
      </c>
      <c r="M48">
        <v>-1.2918186190000001</v>
      </c>
      <c r="N48">
        <v>-0.87154769899999995</v>
      </c>
    </row>
    <row r="49" spans="1:14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H49" t="s">
        <v>54</v>
      </c>
      <c r="J49" t="s">
        <v>50</v>
      </c>
      <c r="K49" s="1"/>
      <c r="L49">
        <v>-14.061510090000001</v>
      </c>
      <c r="M49">
        <v>-11.37596321</v>
      </c>
      <c r="N49">
        <v>-2.844051361</v>
      </c>
    </row>
    <row r="50" spans="1:14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H50" t="s">
        <v>54</v>
      </c>
      <c r="J50" t="s">
        <v>50</v>
      </c>
      <c r="K50" s="1"/>
      <c r="L50">
        <v>-7.3744602199999996</v>
      </c>
      <c r="M50">
        <v>-5.1314182280000002</v>
      </c>
      <c r="N50">
        <v>-1.2068691250000001</v>
      </c>
    </row>
    <row r="51" spans="1:14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H51" t="s">
        <v>54</v>
      </c>
      <c r="I51" t="s">
        <v>130</v>
      </c>
      <c r="J51" t="s">
        <v>50</v>
      </c>
      <c r="K51" s="1"/>
      <c r="L51">
        <v>-6.2383728029999999</v>
      </c>
      <c r="M51">
        <v>-1.508148193</v>
      </c>
      <c r="N51">
        <v>0.20566749600000001</v>
      </c>
    </row>
    <row r="52" spans="1:14">
      <c r="A52" s="2">
        <v>46009</v>
      </c>
      <c r="B52" t="s">
        <v>44</v>
      </c>
      <c r="C52">
        <v>63556</v>
      </c>
      <c r="D52">
        <v>1571</v>
      </c>
      <c r="E52" t="s">
        <v>120</v>
      </c>
      <c r="F52" t="s">
        <v>46</v>
      </c>
      <c r="H52" t="s">
        <v>54</v>
      </c>
      <c r="J52" t="s">
        <v>128</v>
      </c>
      <c r="K52" s="26" t="s">
        <v>271</v>
      </c>
      <c r="L52">
        <v>-3.6308155059999998</v>
      </c>
      <c r="M52">
        <v>-2.4101123809999998</v>
      </c>
      <c r="N52">
        <v>-1.3999233250000001</v>
      </c>
    </row>
    <row r="53" spans="1:14">
      <c r="A53" s="2">
        <v>46009</v>
      </c>
      <c r="B53" t="s">
        <v>44</v>
      </c>
      <c r="C53">
        <v>63557</v>
      </c>
      <c r="D53">
        <v>1572</v>
      </c>
      <c r="E53" t="s">
        <v>131</v>
      </c>
      <c r="F53" t="s">
        <v>46</v>
      </c>
      <c r="H53" t="s">
        <v>48</v>
      </c>
      <c r="I53" t="s">
        <v>132</v>
      </c>
      <c r="J53" t="s">
        <v>50</v>
      </c>
      <c r="K53" s="1"/>
      <c r="L53">
        <v>-1.8177680970000001</v>
      </c>
      <c r="M53">
        <v>-1.1463813780000001</v>
      </c>
      <c r="N53">
        <v>-0.30620575</v>
      </c>
    </row>
    <row r="54" spans="1:14">
      <c r="A54" s="2">
        <v>46010</v>
      </c>
      <c r="B54" t="s">
        <v>69</v>
      </c>
      <c r="C54">
        <v>63547</v>
      </c>
      <c r="D54">
        <v>1573</v>
      </c>
      <c r="E54" t="s">
        <v>133</v>
      </c>
      <c r="F54" t="s">
        <v>65</v>
      </c>
      <c r="H54" t="s">
        <v>48</v>
      </c>
      <c r="I54" t="s">
        <v>134</v>
      </c>
      <c r="J54" t="s">
        <v>50</v>
      </c>
      <c r="K54" s="26" t="s">
        <v>59</v>
      </c>
    </row>
    <row r="55" spans="1:14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H55" t="s">
        <v>54</v>
      </c>
      <c r="I55" t="s">
        <v>135</v>
      </c>
      <c r="J55" t="s">
        <v>50</v>
      </c>
      <c r="K55" s="1"/>
      <c r="L55">
        <v>-5.5927295680000002</v>
      </c>
      <c r="M55">
        <v>-2.891923904</v>
      </c>
      <c r="N55">
        <v>-0.91124534599999996</v>
      </c>
    </row>
    <row r="56" spans="1:14">
      <c r="A56" s="2">
        <v>46010</v>
      </c>
      <c r="B56" t="s">
        <v>90</v>
      </c>
      <c r="C56">
        <v>63548</v>
      </c>
      <c r="D56">
        <v>1575</v>
      </c>
      <c r="E56" t="s">
        <v>87</v>
      </c>
      <c r="F56" t="s">
        <v>65</v>
      </c>
      <c r="H56" t="s">
        <v>54</v>
      </c>
      <c r="I56" t="s">
        <v>136</v>
      </c>
      <c r="J56" t="s">
        <v>50</v>
      </c>
      <c r="L56">
        <v>-1.1823902129999999</v>
      </c>
      <c r="M56">
        <v>-0.48048591600000001</v>
      </c>
      <c r="N56">
        <v>-0.77367210399999997</v>
      </c>
    </row>
    <row r="57" spans="1:14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H57" t="s">
        <v>54</v>
      </c>
      <c r="I57" t="s">
        <v>138</v>
      </c>
      <c r="J57" t="s">
        <v>50</v>
      </c>
      <c r="L57">
        <v>-8.8684444429999996</v>
      </c>
      <c r="M57">
        <v>-1.574743271</v>
      </c>
      <c r="N57">
        <v>6.2568664999999996E-2</v>
      </c>
    </row>
    <row r="58" spans="1:14">
      <c r="A58" s="2">
        <v>46010</v>
      </c>
      <c r="B58" t="s">
        <v>90</v>
      </c>
      <c r="C58">
        <v>63548</v>
      </c>
      <c r="D58">
        <v>1577</v>
      </c>
      <c r="E58" t="s">
        <v>110</v>
      </c>
      <c r="F58" t="s">
        <v>65</v>
      </c>
      <c r="H58" t="s">
        <v>54</v>
      </c>
      <c r="I58" t="s">
        <v>139</v>
      </c>
      <c r="J58" t="s">
        <v>50</v>
      </c>
      <c r="L58">
        <v>-3.7340068820000001</v>
      </c>
      <c r="M58">
        <v>-1.658811569</v>
      </c>
      <c r="N58">
        <v>-0.28087997399999998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1F38-0762-46CA-B533-3DA8558FE1FB}">
  <dimension ref="A1:N58"/>
  <sheetViews>
    <sheetView topLeftCell="A59" workbookViewId="0">
      <selection activeCell="L60" sqref="L60"/>
    </sheetView>
  </sheetViews>
  <sheetFormatPr defaultRowHeight="15"/>
  <cols>
    <col min="12" max="14" width="9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L1" s="78" t="s">
        <v>268</v>
      </c>
      <c r="M1" s="78" t="s">
        <v>269</v>
      </c>
      <c r="N1" s="78" t="s">
        <v>270</v>
      </c>
    </row>
    <row r="2" spans="1:14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H2" t="s">
        <v>48</v>
      </c>
      <c r="I2" t="s">
        <v>49</v>
      </c>
      <c r="J2" t="s">
        <v>50</v>
      </c>
      <c r="L2" s="79"/>
      <c r="M2" s="79"/>
      <c r="N2" s="79"/>
    </row>
    <row r="3" spans="1:14">
      <c r="A3" s="2">
        <v>45979</v>
      </c>
      <c r="B3" t="s">
        <v>44</v>
      </c>
      <c r="C3">
        <v>63562</v>
      </c>
      <c r="D3">
        <v>1521</v>
      </c>
      <c r="E3" t="s">
        <v>51</v>
      </c>
      <c r="F3" t="s">
        <v>46</v>
      </c>
      <c r="H3" t="s">
        <v>48</v>
      </c>
      <c r="I3" t="s">
        <v>52</v>
      </c>
      <c r="J3" t="s">
        <v>50</v>
      </c>
      <c r="L3" s="79"/>
      <c r="M3" s="79"/>
      <c r="N3" s="79"/>
    </row>
    <row r="4" spans="1:14">
      <c r="A4" s="2">
        <v>45979</v>
      </c>
      <c r="B4" t="s">
        <v>44</v>
      </c>
      <c r="C4">
        <v>63563</v>
      </c>
      <c r="D4">
        <v>1522</v>
      </c>
      <c r="E4" t="s">
        <v>53</v>
      </c>
      <c r="F4" t="s">
        <v>46</v>
      </c>
      <c r="H4" t="s">
        <v>54</v>
      </c>
      <c r="I4" t="s">
        <v>55</v>
      </c>
      <c r="J4" t="s">
        <v>50</v>
      </c>
      <c r="L4" s="79"/>
      <c r="M4" s="79"/>
      <c r="N4" s="79"/>
    </row>
    <row r="5" spans="1:14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H5" t="s">
        <v>54</v>
      </c>
      <c r="I5" t="s">
        <v>58</v>
      </c>
      <c r="J5" t="s">
        <v>50</v>
      </c>
      <c r="L5" s="79"/>
      <c r="M5" s="79"/>
      <c r="N5" s="79"/>
    </row>
    <row r="6" spans="1:14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H6" t="s">
        <v>54</v>
      </c>
      <c r="I6" t="s">
        <v>61</v>
      </c>
      <c r="J6" t="s">
        <v>50</v>
      </c>
      <c r="L6" s="79"/>
      <c r="M6" s="79"/>
      <c r="N6" s="79"/>
    </row>
    <row r="7" spans="1:14">
      <c r="A7" s="2">
        <v>45980</v>
      </c>
      <c r="B7" t="s">
        <v>44</v>
      </c>
      <c r="C7">
        <v>63564</v>
      </c>
      <c r="D7">
        <v>1525</v>
      </c>
      <c r="E7" t="s">
        <v>62</v>
      </c>
      <c r="F7" t="s">
        <v>46</v>
      </c>
      <c r="H7" t="s">
        <v>54</v>
      </c>
      <c r="J7" t="s">
        <v>50</v>
      </c>
      <c r="L7" s="79"/>
      <c r="M7" s="79"/>
      <c r="N7" s="79"/>
    </row>
    <row r="8" spans="1:14">
      <c r="A8" s="2">
        <v>45980</v>
      </c>
      <c r="B8" t="s">
        <v>44</v>
      </c>
      <c r="C8">
        <v>63565</v>
      </c>
      <c r="D8">
        <v>1526</v>
      </c>
      <c r="E8" t="s">
        <v>63</v>
      </c>
      <c r="F8" t="s">
        <v>46</v>
      </c>
      <c r="H8" t="s">
        <v>48</v>
      </c>
      <c r="J8" t="s">
        <v>50</v>
      </c>
      <c r="L8" s="79"/>
      <c r="M8" s="79"/>
      <c r="N8" s="79"/>
    </row>
    <row r="9" spans="1:14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H9" t="s">
        <v>48</v>
      </c>
      <c r="J9" t="s">
        <v>50</v>
      </c>
      <c r="L9" s="79" t="s">
        <v>272</v>
      </c>
      <c r="M9" s="79"/>
      <c r="N9" s="79"/>
    </row>
    <row r="10" spans="1:14">
      <c r="A10" s="2">
        <v>45981</v>
      </c>
      <c r="B10" t="s">
        <v>44</v>
      </c>
      <c r="C10">
        <v>63552</v>
      </c>
      <c r="D10">
        <v>1528</v>
      </c>
      <c r="E10" t="s">
        <v>51</v>
      </c>
      <c r="F10" t="s">
        <v>65</v>
      </c>
      <c r="H10" t="s">
        <v>48</v>
      </c>
      <c r="I10" t="s">
        <v>66</v>
      </c>
      <c r="J10" t="s">
        <v>50</v>
      </c>
      <c r="L10" s="79"/>
      <c r="M10" s="79"/>
      <c r="N10" s="79"/>
    </row>
    <row r="11" spans="1:14">
      <c r="A11" s="2">
        <v>45981</v>
      </c>
      <c r="B11" t="s">
        <v>44</v>
      </c>
      <c r="C11">
        <v>63553</v>
      </c>
      <c r="D11">
        <v>1529</v>
      </c>
      <c r="E11" t="s">
        <v>53</v>
      </c>
      <c r="F11" t="s">
        <v>65</v>
      </c>
      <c r="H11" t="s">
        <v>54</v>
      </c>
      <c r="I11" t="s">
        <v>67</v>
      </c>
      <c r="J11" t="s">
        <v>50</v>
      </c>
      <c r="L11" s="79"/>
      <c r="M11" s="79"/>
      <c r="N11" s="79"/>
    </row>
    <row r="12" spans="1:14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H12" t="s">
        <v>54</v>
      </c>
      <c r="J12" t="s">
        <v>50</v>
      </c>
      <c r="L12" s="79"/>
      <c r="M12" s="79"/>
      <c r="N12" s="79"/>
    </row>
    <row r="13" spans="1:14">
      <c r="A13" s="2">
        <v>45985</v>
      </c>
      <c r="B13" t="s">
        <v>69</v>
      </c>
      <c r="C13">
        <v>63550</v>
      </c>
      <c r="D13">
        <v>1531</v>
      </c>
      <c r="E13" t="s">
        <v>68</v>
      </c>
      <c r="F13" t="s">
        <v>65</v>
      </c>
      <c r="H13" t="s">
        <v>54</v>
      </c>
      <c r="J13" t="s">
        <v>50</v>
      </c>
      <c r="L13" s="79"/>
      <c r="M13" s="79"/>
      <c r="N13" s="79"/>
    </row>
    <row r="14" spans="1:14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H14" t="s">
        <v>54</v>
      </c>
      <c r="I14" t="s">
        <v>73</v>
      </c>
      <c r="J14" t="s">
        <v>50</v>
      </c>
      <c r="L14" s="79"/>
      <c r="M14" s="79"/>
      <c r="N14" s="79"/>
    </row>
    <row r="15" spans="1:14">
      <c r="A15" s="2">
        <v>45985</v>
      </c>
      <c r="B15" t="s">
        <v>69</v>
      </c>
      <c r="C15">
        <v>63550</v>
      </c>
      <c r="D15">
        <v>1533</v>
      </c>
      <c r="E15" t="s">
        <v>74</v>
      </c>
      <c r="F15" t="s">
        <v>65</v>
      </c>
      <c r="H15" t="s">
        <v>54</v>
      </c>
      <c r="J15" t="s">
        <v>50</v>
      </c>
      <c r="L15" s="79"/>
      <c r="M15" s="79"/>
      <c r="N15" s="79"/>
    </row>
    <row r="16" spans="1:14">
      <c r="A16" s="2">
        <v>45985</v>
      </c>
      <c r="B16" t="s">
        <v>44</v>
      </c>
      <c r="C16">
        <v>63551</v>
      </c>
      <c r="D16">
        <v>1534</v>
      </c>
      <c r="E16" t="s">
        <v>76</v>
      </c>
      <c r="F16" t="s">
        <v>65</v>
      </c>
      <c r="H16" t="s">
        <v>48</v>
      </c>
      <c r="I16" t="s">
        <v>77</v>
      </c>
      <c r="J16" t="s">
        <v>50</v>
      </c>
      <c r="L16" s="79"/>
      <c r="M16" s="79"/>
      <c r="N16" s="79"/>
    </row>
    <row r="17" spans="1:14">
      <c r="A17" s="2">
        <v>46000</v>
      </c>
      <c r="B17" t="s">
        <v>69</v>
      </c>
      <c r="C17">
        <v>63542</v>
      </c>
      <c r="D17">
        <v>1536</v>
      </c>
      <c r="E17" t="s">
        <v>78</v>
      </c>
      <c r="F17" t="s">
        <v>65</v>
      </c>
      <c r="H17" t="s">
        <v>48</v>
      </c>
      <c r="I17" t="s">
        <v>79</v>
      </c>
      <c r="J17" t="s">
        <v>80</v>
      </c>
      <c r="L17">
        <v>-5.1923637390000001</v>
      </c>
      <c r="M17">
        <v>-3.2987899779999998</v>
      </c>
      <c r="N17">
        <v>-0.71571731599999999</v>
      </c>
    </row>
    <row r="18" spans="1:14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H18" t="s">
        <v>54</v>
      </c>
      <c r="I18" t="s">
        <v>81</v>
      </c>
      <c r="J18" t="s">
        <v>50</v>
      </c>
    </row>
    <row r="19" spans="1:14">
      <c r="A19" s="2">
        <v>46000</v>
      </c>
      <c r="B19" t="s">
        <v>69</v>
      </c>
      <c r="C19">
        <v>63543</v>
      </c>
      <c r="D19">
        <v>1538</v>
      </c>
      <c r="E19" t="s">
        <v>82</v>
      </c>
      <c r="F19" t="s">
        <v>65</v>
      </c>
      <c r="H19" t="s">
        <v>54</v>
      </c>
      <c r="I19" t="s">
        <v>83</v>
      </c>
      <c r="J19" t="s">
        <v>50</v>
      </c>
      <c r="L19">
        <v>-6.4599571229999997</v>
      </c>
      <c r="M19">
        <v>-4.9409675599999998</v>
      </c>
      <c r="N19">
        <v>-1.306404114</v>
      </c>
    </row>
    <row r="20" spans="1:14">
      <c r="A20" s="2">
        <v>46000</v>
      </c>
      <c r="B20" t="s">
        <v>44</v>
      </c>
      <c r="C20">
        <v>63543</v>
      </c>
      <c r="D20">
        <v>1539</v>
      </c>
      <c r="E20" t="s">
        <v>84</v>
      </c>
      <c r="F20" t="s">
        <v>65</v>
      </c>
      <c r="H20" t="s">
        <v>54</v>
      </c>
      <c r="I20" t="s">
        <v>85</v>
      </c>
      <c r="J20" t="s">
        <v>50</v>
      </c>
      <c r="L20">
        <v>-4.4316864010000003</v>
      </c>
      <c r="M20">
        <v>-1.6736869809999999</v>
      </c>
      <c r="N20">
        <v>-0.858882904</v>
      </c>
    </row>
    <row r="21" spans="1:14">
      <c r="A21" s="2">
        <v>46001</v>
      </c>
      <c r="B21" t="s">
        <v>69</v>
      </c>
      <c r="C21">
        <v>63558</v>
      </c>
      <c r="D21">
        <v>1540</v>
      </c>
      <c r="E21" t="s">
        <v>86</v>
      </c>
      <c r="F21" t="s">
        <v>46</v>
      </c>
      <c r="H21" t="s">
        <v>54</v>
      </c>
      <c r="J21" t="s">
        <v>50</v>
      </c>
      <c r="L21">
        <v>-1.053436279</v>
      </c>
      <c r="M21">
        <v>-0.42972946200000001</v>
      </c>
      <c r="N21">
        <v>0.20402526900000001</v>
      </c>
    </row>
    <row r="22" spans="1:14">
      <c r="A22" s="2">
        <v>46001</v>
      </c>
      <c r="B22" t="s">
        <v>69</v>
      </c>
      <c r="C22">
        <v>63559</v>
      </c>
      <c r="D22">
        <v>1541</v>
      </c>
      <c r="E22" t="s">
        <v>87</v>
      </c>
      <c r="F22" t="s">
        <v>46</v>
      </c>
      <c r="H22" t="s">
        <v>48</v>
      </c>
      <c r="I22" t="s">
        <v>88</v>
      </c>
      <c r="J22" t="s">
        <v>50</v>
      </c>
      <c r="L22">
        <v>-2.9210739139999999</v>
      </c>
      <c r="M22">
        <v>-1.8830604550000001</v>
      </c>
      <c r="N22">
        <v>-0.48427200300000001</v>
      </c>
    </row>
    <row r="23" spans="1:14">
      <c r="A23" s="2">
        <v>46001</v>
      </c>
      <c r="B23" t="s">
        <v>90</v>
      </c>
      <c r="C23">
        <v>63559</v>
      </c>
      <c r="D23">
        <v>1542</v>
      </c>
      <c r="E23" t="s">
        <v>91</v>
      </c>
      <c r="F23" t="s">
        <v>46</v>
      </c>
      <c r="H23" t="s">
        <v>48</v>
      </c>
      <c r="J23" t="s">
        <v>50</v>
      </c>
      <c r="L23" s="4">
        <v>-1.013143897</v>
      </c>
      <c r="M23" s="4">
        <v>0.27578616099999997</v>
      </c>
      <c r="N23" s="4">
        <v>0.17350280300000001</v>
      </c>
    </row>
    <row r="24" spans="1:14">
      <c r="A24" s="2">
        <v>46002</v>
      </c>
      <c r="B24" t="s">
        <v>69</v>
      </c>
      <c r="C24">
        <v>63560</v>
      </c>
      <c r="D24">
        <v>1543</v>
      </c>
      <c r="E24" t="s">
        <v>93</v>
      </c>
      <c r="F24" t="s">
        <v>46</v>
      </c>
      <c r="H24" t="s">
        <v>54</v>
      </c>
      <c r="I24" t="s">
        <v>94</v>
      </c>
      <c r="J24" t="s">
        <v>50</v>
      </c>
      <c r="L24">
        <v>-1.245410919</v>
      </c>
      <c r="M24">
        <v>-1.148834229</v>
      </c>
      <c r="N24">
        <v>-0.44544982900000002</v>
      </c>
    </row>
    <row r="25" spans="1:14">
      <c r="A25" s="2">
        <v>46002</v>
      </c>
      <c r="B25" t="s">
        <v>69</v>
      </c>
      <c r="C25">
        <v>63561</v>
      </c>
      <c r="D25">
        <v>1544</v>
      </c>
      <c r="E25" t="s">
        <v>95</v>
      </c>
      <c r="F25" t="s">
        <v>46</v>
      </c>
      <c r="H25" t="s">
        <v>48</v>
      </c>
      <c r="I25" t="s">
        <v>96</v>
      </c>
      <c r="J25" t="s">
        <v>50</v>
      </c>
      <c r="L25">
        <v>0.80985641500000005</v>
      </c>
      <c r="M25">
        <v>1.032917023</v>
      </c>
      <c r="N25">
        <v>-0.51229476900000004</v>
      </c>
    </row>
    <row r="26" spans="1:14">
      <c r="A26" s="2">
        <v>46002</v>
      </c>
      <c r="B26" t="s">
        <v>44</v>
      </c>
      <c r="C26">
        <v>63561</v>
      </c>
      <c r="D26">
        <v>1545</v>
      </c>
      <c r="E26" t="s">
        <v>97</v>
      </c>
      <c r="F26" t="s">
        <v>46</v>
      </c>
      <c r="H26" t="s">
        <v>48</v>
      </c>
      <c r="J26" t="s">
        <v>50</v>
      </c>
      <c r="L26">
        <v>-8.499481201</v>
      </c>
      <c r="M26">
        <v>-4.1660309E-2</v>
      </c>
      <c r="N26">
        <v>-0.61940002400000005</v>
      </c>
    </row>
    <row r="27" spans="1:14">
      <c r="A27" s="2">
        <v>46002</v>
      </c>
      <c r="B27" t="s">
        <v>90</v>
      </c>
      <c r="C27">
        <v>63560</v>
      </c>
      <c r="D27">
        <v>1546</v>
      </c>
      <c r="F27" t="s">
        <v>46</v>
      </c>
      <c r="H27" t="s">
        <v>48</v>
      </c>
    </row>
    <row r="28" spans="1:14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H28" t="s">
        <v>54</v>
      </c>
      <c r="I28" t="s">
        <v>100</v>
      </c>
      <c r="J28" t="s">
        <v>50</v>
      </c>
      <c r="L28">
        <v>-2.4121589659999998</v>
      </c>
      <c r="M28">
        <v>-1.0578193659999999</v>
      </c>
      <c r="N28">
        <v>-1.2451477049999999</v>
      </c>
    </row>
    <row r="29" spans="1:14">
      <c r="A29" s="2">
        <v>46003</v>
      </c>
      <c r="B29" t="s">
        <v>101</v>
      </c>
      <c r="C29">
        <v>63544</v>
      </c>
      <c r="D29">
        <v>1548</v>
      </c>
      <c r="E29" t="s">
        <v>102</v>
      </c>
      <c r="F29" t="s">
        <v>65</v>
      </c>
      <c r="H29" t="s">
        <v>54</v>
      </c>
      <c r="I29" t="s">
        <v>103</v>
      </c>
      <c r="J29" t="s">
        <v>50</v>
      </c>
      <c r="L29">
        <v>-3.9920310969999999</v>
      </c>
      <c r="M29">
        <v>-2.958164215</v>
      </c>
      <c r="N29">
        <v>-2.8602180480000001</v>
      </c>
    </row>
    <row r="30" spans="1:14">
      <c r="A30" s="2">
        <v>46003</v>
      </c>
      <c r="B30" t="s">
        <v>90</v>
      </c>
      <c r="C30">
        <v>63544</v>
      </c>
      <c r="D30">
        <v>1549</v>
      </c>
      <c r="E30" t="s">
        <v>104</v>
      </c>
      <c r="F30" t="s">
        <v>65</v>
      </c>
      <c r="H30" t="s">
        <v>54</v>
      </c>
      <c r="J30" t="s">
        <v>80</v>
      </c>
      <c r="L30">
        <v>-8.116693497</v>
      </c>
      <c r="M30">
        <v>-4.106788635</v>
      </c>
      <c r="N30">
        <v>-2.3967781069999998</v>
      </c>
    </row>
    <row r="31" spans="1:14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H31" t="s">
        <v>48</v>
      </c>
      <c r="I31" t="s">
        <v>106</v>
      </c>
      <c r="J31" t="s">
        <v>50</v>
      </c>
      <c r="L31">
        <v>-3.4570178989999998</v>
      </c>
      <c r="M31">
        <v>-1.556022644</v>
      </c>
      <c r="N31">
        <v>-1.1583442690000001</v>
      </c>
    </row>
    <row r="32" spans="1:14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H32" t="s">
        <v>108</v>
      </c>
      <c r="I32" t="s">
        <v>109</v>
      </c>
      <c r="J32" t="s">
        <v>50</v>
      </c>
      <c r="L32">
        <v>-6.7015419009999997</v>
      </c>
      <c r="M32">
        <v>-4.9794654850000004</v>
      </c>
      <c r="N32">
        <v>-2.3967742919999999</v>
      </c>
    </row>
    <row r="33" spans="1:14">
      <c r="A33" s="2">
        <v>46003</v>
      </c>
      <c r="B33" t="s">
        <v>90</v>
      </c>
      <c r="C33">
        <v>63545</v>
      </c>
      <c r="D33">
        <v>1552</v>
      </c>
      <c r="E33" t="s">
        <v>110</v>
      </c>
      <c r="F33" t="s">
        <v>65</v>
      </c>
      <c r="H33" t="s">
        <v>48</v>
      </c>
      <c r="J33" t="s">
        <v>50</v>
      </c>
      <c r="L33">
        <v>-7.0526924129999999</v>
      </c>
      <c r="M33">
        <v>1.5122833250000001</v>
      </c>
      <c r="N33">
        <v>0.30927658099999999</v>
      </c>
    </row>
    <row r="34" spans="1:14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H34" t="s">
        <v>48</v>
      </c>
      <c r="J34" t="s">
        <v>50</v>
      </c>
      <c r="L34">
        <v>-2.7841415409999999</v>
      </c>
      <c r="M34">
        <v>-2.6237525939999999</v>
      </c>
      <c r="N34">
        <v>-2.655601501</v>
      </c>
    </row>
    <row r="35" spans="1:14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H35" t="s">
        <v>48</v>
      </c>
      <c r="J35" t="s">
        <v>50</v>
      </c>
      <c r="L35">
        <v>0.62781906099999996</v>
      </c>
      <c r="M35">
        <v>0.91503524800000002</v>
      </c>
      <c r="N35">
        <v>0.329151154</v>
      </c>
    </row>
    <row r="36" spans="1:14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H36" t="s">
        <v>48</v>
      </c>
      <c r="I36" t="s">
        <v>112</v>
      </c>
      <c r="J36" t="s">
        <v>50</v>
      </c>
    </row>
    <row r="37" spans="1:14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H37" t="s">
        <v>48</v>
      </c>
      <c r="J37" t="s">
        <v>50</v>
      </c>
      <c r="L37">
        <v>-0.88698577899999997</v>
      </c>
      <c r="M37">
        <v>-0.53991317699999997</v>
      </c>
      <c r="N37">
        <v>0.20148849499999999</v>
      </c>
    </row>
    <row r="38" spans="1:14">
      <c r="A38" s="2">
        <v>46007</v>
      </c>
      <c r="B38" t="s">
        <v>90</v>
      </c>
      <c r="C38">
        <v>63549</v>
      </c>
      <c r="D38">
        <v>1557</v>
      </c>
      <c r="E38" t="s">
        <v>114</v>
      </c>
      <c r="F38" t="s">
        <v>65</v>
      </c>
      <c r="H38" t="s">
        <v>48</v>
      </c>
      <c r="I38" t="s">
        <v>115</v>
      </c>
      <c r="J38" t="s">
        <v>50</v>
      </c>
      <c r="L38">
        <v>-2.7841415409999999</v>
      </c>
      <c r="M38">
        <v>-2.6237525939999999</v>
      </c>
      <c r="N38">
        <v>-2.655601501</v>
      </c>
    </row>
    <row r="39" spans="1:14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H39" t="s">
        <v>54</v>
      </c>
      <c r="J39" t="s">
        <v>50</v>
      </c>
      <c r="L39">
        <v>-4.2502326970000004</v>
      </c>
      <c r="M39">
        <v>-2.9115715029999998</v>
      </c>
      <c r="N39">
        <v>-0.178192139</v>
      </c>
    </row>
    <row r="40" spans="1:14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H40" t="s">
        <v>54</v>
      </c>
      <c r="J40" t="s">
        <v>50</v>
      </c>
      <c r="L40">
        <v>-1.106567383</v>
      </c>
      <c r="M40">
        <v>-0.699409485</v>
      </c>
      <c r="N40">
        <v>-0.61916351300000005</v>
      </c>
    </row>
    <row r="41" spans="1:14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H41" t="s">
        <v>54</v>
      </c>
      <c r="I41" t="s">
        <v>119</v>
      </c>
      <c r="J41" t="s">
        <v>50</v>
      </c>
      <c r="L41">
        <v>-2.094669342</v>
      </c>
      <c r="M41">
        <v>-0.85825347900000004</v>
      </c>
      <c r="N41">
        <v>-0.55037307700000004</v>
      </c>
    </row>
    <row r="42" spans="1:14">
      <c r="A42" s="2">
        <v>46007</v>
      </c>
      <c r="B42" t="s">
        <v>90</v>
      </c>
      <c r="C42">
        <v>63546</v>
      </c>
      <c r="D42">
        <v>1561</v>
      </c>
      <c r="E42" t="s">
        <v>120</v>
      </c>
      <c r="F42" t="s">
        <v>65</v>
      </c>
      <c r="H42" t="s">
        <v>54</v>
      </c>
      <c r="I42" t="s">
        <v>121</v>
      </c>
      <c r="J42" t="s">
        <v>50</v>
      </c>
      <c r="L42">
        <v>-2.8458518979999998</v>
      </c>
      <c r="M42">
        <v>-0.39325714099999998</v>
      </c>
      <c r="N42">
        <v>-0.18709564200000001</v>
      </c>
    </row>
    <row r="43" spans="1:14">
      <c r="A43" s="2">
        <v>46008</v>
      </c>
      <c r="B43" t="s">
        <v>90</v>
      </c>
      <c r="C43">
        <v>63554</v>
      </c>
      <c r="D43">
        <v>1562</v>
      </c>
      <c r="E43" t="s">
        <v>91</v>
      </c>
      <c r="F43" t="s">
        <v>46</v>
      </c>
      <c r="H43" t="s">
        <v>54</v>
      </c>
      <c r="J43" t="s">
        <v>50</v>
      </c>
      <c r="L43" s="4">
        <v>-3.6500931E-2</v>
      </c>
      <c r="M43" s="4">
        <v>1.4870185849999999</v>
      </c>
      <c r="N43" s="4">
        <v>1.9768600460000001</v>
      </c>
    </row>
    <row r="44" spans="1:14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H44" t="s">
        <v>54</v>
      </c>
      <c r="I44" t="s">
        <v>123</v>
      </c>
      <c r="J44" t="s">
        <v>50</v>
      </c>
      <c r="L44">
        <v>-0.85900497399999998</v>
      </c>
      <c r="M44">
        <v>0.18822097800000001</v>
      </c>
      <c r="N44">
        <v>0.20374298099999999</v>
      </c>
    </row>
    <row r="45" spans="1:14">
      <c r="A45" s="2">
        <v>46008</v>
      </c>
      <c r="B45" t="s">
        <v>44</v>
      </c>
      <c r="C45">
        <v>63554</v>
      </c>
      <c r="D45">
        <v>1564</v>
      </c>
      <c r="E45" t="s">
        <v>124</v>
      </c>
      <c r="F45" t="s">
        <v>46</v>
      </c>
      <c r="H45" t="s">
        <v>54</v>
      </c>
      <c r="I45" t="s">
        <v>125</v>
      </c>
      <c r="J45" t="s">
        <v>50</v>
      </c>
      <c r="L45">
        <v>-0.70998001099999997</v>
      </c>
      <c r="M45">
        <v>0.45699310300000001</v>
      </c>
      <c r="N45">
        <v>-0.33224105799999998</v>
      </c>
    </row>
    <row r="46" spans="1:14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H46" t="s">
        <v>48</v>
      </c>
      <c r="I46" t="s">
        <v>127</v>
      </c>
      <c r="J46" t="s">
        <v>50</v>
      </c>
      <c r="L46">
        <v>-5.878822327</v>
      </c>
      <c r="M46">
        <v>-5.3138656620000004</v>
      </c>
      <c r="N46">
        <v>-4.7600212099999997</v>
      </c>
    </row>
    <row r="47" spans="1:14">
      <c r="A47" s="2">
        <v>46008</v>
      </c>
      <c r="B47" t="s">
        <v>90</v>
      </c>
      <c r="C47">
        <v>63555</v>
      </c>
      <c r="D47">
        <v>1566</v>
      </c>
      <c r="E47" t="s">
        <v>104</v>
      </c>
      <c r="F47" t="s">
        <v>46</v>
      </c>
      <c r="H47" t="s">
        <v>48</v>
      </c>
      <c r="J47" t="s">
        <v>128</v>
      </c>
      <c r="L47">
        <v>-3.9298992159999999</v>
      </c>
      <c r="M47">
        <v>-0.49480819700000001</v>
      </c>
      <c r="N47">
        <v>-0.423080444</v>
      </c>
    </row>
    <row r="48" spans="1:14">
      <c r="A48" s="2">
        <v>46008</v>
      </c>
      <c r="B48" t="s">
        <v>90</v>
      </c>
      <c r="C48">
        <v>63555</v>
      </c>
      <c r="D48">
        <v>1567</v>
      </c>
      <c r="E48" t="s">
        <v>110</v>
      </c>
      <c r="F48" t="s">
        <v>46</v>
      </c>
      <c r="H48" t="s">
        <v>48</v>
      </c>
      <c r="J48" t="s">
        <v>50</v>
      </c>
      <c r="L48">
        <v>-1.0026626590000001</v>
      </c>
      <c r="M48">
        <v>-0.75867462200000002</v>
      </c>
      <c r="N48">
        <v>-1.31955719</v>
      </c>
    </row>
    <row r="49" spans="1:14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H49" t="s">
        <v>54</v>
      </c>
      <c r="J49" t="s">
        <v>50</v>
      </c>
      <c r="L49">
        <v>-7.8233718870000004</v>
      </c>
      <c r="M49">
        <v>-7.0979919430000002</v>
      </c>
      <c r="N49">
        <v>-2.1741180419999999</v>
      </c>
    </row>
    <row r="50" spans="1:14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H50" t="s">
        <v>54</v>
      </c>
      <c r="J50" t="s">
        <v>50</v>
      </c>
      <c r="L50">
        <v>-8.5441665649999994</v>
      </c>
      <c r="M50">
        <v>-4.8663406370000004</v>
      </c>
      <c r="N50">
        <v>-2.4158058169999999</v>
      </c>
    </row>
    <row r="51" spans="1:14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H51" t="s">
        <v>54</v>
      </c>
      <c r="I51" t="s">
        <v>130</v>
      </c>
      <c r="J51" t="s">
        <v>50</v>
      </c>
      <c r="L51">
        <v>-2.7336959840000001</v>
      </c>
      <c r="M51">
        <v>-0.32451629599999998</v>
      </c>
      <c r="N51">
        <v>-0.68399429300000003</v>
      </c>
    </row>
    <row r="52" spans="1:14">
      <c r="A52" s="2">
        <v>46009</v>
      </c>
      <c r="B52" t="s">
        <v>44</v>
      </c>
      <c r="C52">
        <v>63556</v>
      </c>
      <c r="D52">
        <v>1571</v>
      </c>
      <c r="E52" t="s">
        <v>120</v>
      </c>
      <c r="F52" t="s">
        <v>46</v>
      </c>
      <c r="H52" t="s">
        <v>54</v>
      </c>
      <c r="J52" t="s">
        <v>128</v>
      </c>
      <c r="L52">
        <v>-9.0641593930000006</v>
      </c>
      <c r="M52">
        <v>-3.146183014</v>
      </c>
      <c r="N52">
        <v>-1.221141815</v>
      </c>
    </row>
    <row r="53" spans="1:14">
      <c r="A53" s="2">
        <v>46009</v>
      </c>
      <c r="B53" t="s">
        <v>44</v>
      </c>
      <c r="C53">
        <v>63557</v>
      </c>
      <c r="D53">
        <v>1572</v>
      </c>
      <c r="E53" t="s">
        <v>131</v>
      </c>
      <c r="F53" t="s">
        <v>46</v>
      </c>
      <c r="H53" t="s">
        <v>48</v>
      </c>
      <c r="I53" t="s">
        <v>132</v>
      </c>
      <c r="J53" t="s">
        <v>50</v>
      </c>
      <c r="L53">
        <v>-1.032463074</v>
      </c>
      <c r="M53">
        <v>0.110004425</v>
      </c>
      <c r="N53">
        <v>6.8187713999999996E-2</v>
      </c>
    </row>
    <row r="54" spans="1:14">
      <c r="A54" s="2">
        <v>46010</v>
      </c>
      <c r="B54" t="s">
        <v>69</v>
      </c>
      <c r="C54">
        <v>63547</v>
      </c>
      <c r="D54">
        <v>1573</v>
      </c>
      <c r="E54" t="s">
        <v>133</v>
      </c>
      <c r="F54" t="s">
        <v>65</v>
      </c>
      <c r="H54" t="s">
        <v>48</v>
      </c>
      <c r="I54" t="s">
        <v>134</v>
      </c>
      <c r="J54" t="s">
        <v>50</v>
      </c>
      <c r="L54">
        <v>-4.5632820130000002</v>
      </c>
      <c r="M54">
        <v>-3.8133163450000001</v>
      </c>
      <c r="N54">
        <v>-0.51951217699999996</v>
      </c>
    </row>
    <row r="55" spans="1:14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H55" t="s">
        <v>54</v>
      </c>
      <c r="I55" t="s">
        <v>135</v>
      </c>
      <c r="J55" t="s">
        <v>50</v>
      </c>
      <c r="L55">
        <v>-2.751335144</v>
      </c>
      <c r="M55">
        <v>-2.0552520749999998</v>
      </c>
      <c r="N55">
        <v>-0.56978607199999998</v>
      </c>
    </row>
    <row r="56" spans="1:14">
      <c r="A56" s="2">
        <v>46010</v>
      </c>
      <c r="B56" t="s">
        <v>90</v>
      </c>
      <c r="C56">
        <v>63548</v>
      </c>
      <c r="D56">
        <v>1575</v>
      </c>
      <c r="E56" t="s">
        <v>87</v>
      </c>
      <c r="F56" t="s">
        <v>65</v>
      </c>
      <c r="H56" t="s">
        <v>54</v>
      </c>
      <c r="I56" t="s">
        <v>136</v>
      </c>
      <c r="J56" t="s">
        <v>50</v>
      </c>
      <c r="L56">
        <v>0.62276077299999999</v>
      </c>
      <c r="M56">
        <v>0.93760299700000005</v>
      </c>
      <c r="N56">
        <v>0.29232025099999998</v>
      </c>
    </row>
    <row r="57" spans="1:14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H57" t="s">
        <v>54</v>
      </c>
      <c r="I57" t="s">
        <v>138</v>
      </c>
      <c r="J57" t="s">
        <v>50</v>
      </c>
      <c r="L57">
        <v>-9.1503601069999991</v>
      </c>
      <c r="M57">
        <v>-1.0301704410000001</v>
      </c>
      <c r="N57">
        <v>-0.18093109099999999</v>
      </c>
    </row>
    <row r="58" spans="1:14">
      <c r="A58" s="2">
        <v>46010</v>
      </c>
      <c r="B58" t="s">
        <v>90</v>
      </c>
      <c r="C58">
        <v>63548</v>
      </c>
      <c r="D58">
        <v>1577</v>
      </c>
      <c r="E58" t="s">
        <v>110</v>
      </c>
      <c r="F58" t="s">
        <v>65</v>
      </c>
      <c r="H58" t="s">
        <v>54</v>
      </c>
      <c r="I58" t="s">
        <v>139</v>
      </c>
      <c r="J58" t="s">
        <v>50</v>
      </c>
      <c r="L58">
        <v>-1.805419922</v>
      </c>
      <c r="M58">
        <v>-0.52455902099999996</v>
      </c>
      <c r="N58">
        <v>-0.64879608200000005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DFC4-174A-446B-9586-A9ECB2D92BF3}">
  <sheetPr>
    <tabColor rgb="FFFFF48C"/>
  </sheetPr>
  <dimension ref="A1:AJ156"/>
  <sheetViews>
    <sheetView workbookViewId="0">
      <selection activeCell="D1" sqref="D1"/>
    </sheetView>
  </sheetViews>
  <sheetFormatPr defaultRowHeight="15"/>
  <cols>
    <col min="1" max="1" width="10.7109375" bestFit="1" customWidth="1"/>
    <col min="11" max="12" width="11.42578125" bestFit="1" customWidth="1"/>
    <col min="20" max="20" width="11.28515625" bestFit="1" customWidth="1"/>
    <col min="38" max="39" width="11.42578125" bestFit="1" customWidth="1"/>
  </cols>
  <sheetData>
    <row r="1" spans="1:3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273</v>
      </c>
      <c r="L1" s="1" t="s">
        <v>31</v>
      </c>
      <c r="M1" s="1" t="s">
        <v>22</v>
      </c>
      <c r="N1" s="1" t="s">
        <v>274</v>
      </c>
      <c r="P1" s="1" t="s">
        <v>275</v>
      </c>
      <c r="Q1" s="1" t="s">
        <v>14</v>
      </c>
      <c r="S1" s="1" t="s">
        <v>30</v>
      </c>
      <c r="T1" s="1" t="s">
        <v>276</v>
      </c>
      <c r="U1" s="21">
        <v>0</v>
      </c>
      <c r="V1" s="21">
        <v>50</v>
      </c>
      <c r="W1" s="21">
        <v>100</v>
      </c>
      <c r="X1" s="21">
        <v>150</v>
      </c>
      <c r="Y1" s="21">
        <v>200</v>
      </c>
      <c r="Z1" s="21">
        <v>250</v>
      </c>
      <c r="AA1" s="21">
        <v>300</v>
      </c>
      <c r="AB1" s="21">
        <v>350</v>
      </c>
      <c r="AC1" s="21">
        <v>400</v>
      </c>
      <c r="AD1" s="21">
        <v>450</v>
      </c>
      <c r="AE1" s="21">
        <v>500</v>
      </c>
      <c r="AF1" s="21">
        <v>600</v>
      </c>
      <c r="AG1" s="21">
        <v>700</v>
      </c>
      <c r="AH1" s="21">
        <v>800</v>
      </c>
      <c r="AI1" s="21">
        <v>900</v>
      </c>
      <c r="AJ1" s="21">
        <v>100</v>
      </c>
    </row>
    <row r="2" spans="1:36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G2" s="77" t="s">
        <v>47</v>
      </c>
      <c r="H2" t="s">
        <v>48</v>
      </c>
      <c r="I2" t="s">
        <v>49</v>
      </c>
      <c r="J2" t="s">
        <v>50</v>
      </c>
      <c r="K2">
        <v>6</v>
      </c>
      <c r="L2" s="22">
        <v>8</v>
      </c>
      <c r="M2">
        <v>530.52222442626862</v>
      </c>
      <c r="N2">
        <v>6</v>
      </c>
      <c r="P2">
        <v>184.9365234375</v>
      </c>
      <c r="Q2" s="22">
        <v>0</v>
      </c>
      <c r="S2" s="88">
        <v>4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4</v>
      </c>
      <c r="AA2" s="22">
        <v>7</v>
      </c>
      <c r="AB2" s="22">
        <v>8</v>
      </c>
      <c r="AC2" s="22">
        <v>7</v>
      </c>
      <c r="AD2" s="22">
        <v>8</v>
      </c>
      <c r="AE2" s="22">
        <v>7</v>
      </c>
      <c r="AF2" s="22">
        <v>6</v>
      </c>
      <c r="AG2" s="22">
        <v>4</v>
      </c>
      <c r="AH2" s="22">
        <v>2</v>
      </c>
      <c r="AI2" s="22">
        <v>2</v>
      </c>
      <c r="AJ2" s="22">
        <v>1</v>
      </c>
    </row>
    <row r="3" spans="1:36">
      <c r="A3" s="2">
        <v>45979</v>
      </c>
      <c r="B3" t="s">
        <v>44</v>
      </c>
      <c r="C3">
        <v>63562</v>
      </c>
      <c r="D3">
        <v>1521</v>
      </c>
      <c r="E3" t="s">
        <v>51</v>
      </c>
      <c r="F3" t="s">
        <v>46</v>
      </c>
      <c r="G3" s="77" t="s">
        <v>47</v>
      </c>
      <c r="H3" t="s">
        <v>48</v>
      </c>
      <c r="I3" t="s">
        <v>52</v>
      </c>
      <c r="J3" t="s">
        <v>50</v>
      </c>
      <c r="K3">
        <v>5</v>
      </c>
      <c r="L3" s="22">
        <v>13</v>
      </c>
      <c r="M3">
        <v>657.32557678222656</v>
      </c>
      <c r="N3">
        <v>4</v>
      </c>
      <c r="P3">
        <v>200.8056640625</v>
      </c>
      <c r="Q3" s="22">
        <v>4</v>
      </c>
      <c r="S3" s="88">
        <v>4</v>
      </c>
      <c r="U3" s="22">
        <v>0</v>
      </c>
      <c r="V3" s="22">
        <v>0</v>
      </c>
      <c r="W3" s="22">
        <v>0</v>
      </c>
      <c r="X3" s="22">
        <v>0</v>
      </c>
      <c r="Y3" s="22">
        <v>4</v>
      </c>
      <c r="Z3" s="22">
        <v>9</v>
      </c>
      <c r="AA3" s="22">
        <v>10</v>
      </c>
      <c r="AB3" s="22">
        <v>13</v>
      </c>
      <c r="AC3" s="22">
        <v>11</v>
      </c>
      <c r="AD3" s="22">
        <v>12</v>
      </c>
      <c r="AE3" s="22">
        <v>11</v>
      </c>
      <c r="AF3" s="22">
        <v>9</v>
      </c>
      <c r="AG3" s="22">
        <v>8</v>
      </c>
      <c r="AH3" s="22">
        <v>5</v>
      </c>
      <c r="AI3" s="22">
        <v>2</v>
      </c>
      <c r="AJ3" s="22">
        <v>1</v>
      </c>
    </row>
    <row r="4" spans="1:36">
      <c r="A4" s="2">
        <v>45979</v>
      </c>
      <c r="B4" t="s">
        <v>44</v>
      </c>
      <c r="C4">
        <v>63563</v>
      </c>
      <c r="D4">
        <v>1522</v>
      </c>
      <c r="E4" t="s">
        <v>53</v>
      </c>
      <c r="F4" t="s">
        <v>46</v>
      </c>
      <c r="G4" s="77" t="s">
        <v>47</v>
      </c>
      <c r="H4" t="s">
        <v>54</v>
      </c>
      <c r="I4" t="s">
        <v>55</v>
      </c>
      <c r="J4" t="s">
        <v>50</v>
      </c>
      <c r="K4">
        <v>3</v>
      </c>
      <c r="L4" s="22">
        <v>4</v>
      </c>
      <c r="M4">
        <v>1137.3880348205516</v>
      </c>
      <c r="N4" t="s">
        <v>277</v>
      </c>
      <c r="P4">
        <v>239.2578125</v>
      </c>
      <c r="Q4" s="22">
        <v>3</v>
      </c>
      <c r="S4" s="88">
        <v>3</v>
      </c>
      <c r="U4" s="22">
        <v>0</v>
      </c>
      <c r="V4" s="22">
        <v>0</v>
      </c>
      <c r="W4" s="22">
        <v>0</v>
      </c>
      <c r="X4" s="22">
        <v>0</v>
      </c>
      <c r="Y4" s="22">
        <v>3</v>
      </c>
      <c r="Z4" s="22">
        <v>3</v>
      </c>
      <c r="AA4" s="22">
        <v>4</v>
      </c>
      <c r="AB4" s="22">
        <v>2</v>
      </c>
      <c r="AC4" s="22">
        <v>2</v>
      </c>
      <c r="AD4" s="22">
        <v>3</v>
      </c>
      <c r="AE4" s="22">
        <v>2</v>
      </c>
      <c r="AF4" s="22">
        <v>2</v>
      </c>
      <c r="AG4" s="22">
        <v>2</v>
      </c>
      <c r="AH4" s="22">
        <v>2</v>
      </c>
      <c r="AI4" s="22">
        <v>2</v>
      </c>
      <c r="AJ4" s="22">
        <v>1</v>
      </c>
    </row>
    <row r="5" spans="1:36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G5" s="77" t="s">
        <v>57</v>
      </c>
      <c r="H5" t="s">
        <v>54</v>
      </c>
      <c r="I5" t="s">
        <v>58</v>
      </c>
      <c r="J5" t="s">
        <v>50</v>
      </c>
      <c r="L5" s="23" t="s">
        <v>59</v>
      </c>
      <c r="M5">
        <v>329.06464385986249</v>
      </c>
      <c r="P5">
        <v>87.2802734375</v>
      </c>
      <c r="Q5" s="23" t="s">
        <v>59</v>
      </c>
      <c r="S5" s="23" t="s">
        <v>59</v>
      </c>
      <c r="U5" s="23" t="s">
        <v>59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spans="1:36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G6" s="77" t="s">
        <v>57</v>
      </c>
      <c r="H6" t="s">
        <v>54</v>
      </c>
      <c r="I6" t="s">
        <v>61</v>
      </c>
      <c r="J6" t="s">
        <v>50</v>
      </c>
      <c r="K6">
        <v>5</v>
      </c>
      <c r="L6" s="22">
        <v>24</v>
      </c>
      <c r="M6">
        <v>632.13964462280228</v>
      </c>
      <c r="N6">
        <v>17</v>
      </c>
      <c r="P6">
        <v>172.119140625</v>
      </c>
      <c r="Q6" s="22">
        <v>5</v>
      </c>
      <c r="S6" s="88">
        <v>5</v>
      </c>
      <c r="U6" s="22">
        <v>0</v>
      </c>
      <c r="V6" s="22">
        <v>0</v>
      </c>
      <c r="W6" s="22">
        <v>0</v>
      </c>
      <c r="X6" s="22">
        <v>0</v>
      </c>
      <c r="Y6" s="22">
        <v>5</v>
      </c>
      <c r="Z6" s="22">
        <v>13</v>
      </c>
      <c r="AA6" s="22">
        <v>16</v>
      </c>
      <c r="AB6" s="22">
        <v>18</v>
      </c>
      <c r="AC6" s="22">
        <v>24</v>
      </c>
      <c r="AD6" s="22">
        <v>21</v>
      </c>
      <c r="AE6" s="22">
        <v>18</v>
      </c>
      <c r="AF6" s="22">
        <v>21</v>
      </c>
      <c r="AG6" s="22">
        <v>17</v>
      </c>
      <c r="AH6" s="22">
        <v>16</v>
      </c>
      <c r="AI6" s="22">
        <v>15</v>
      </c>
      <c r="AJ6" s="22">
        <v>10</v>
      </c>
    </row>
    <row r="7" spans="1:36">
      <c r="A7" s="2">
        <v>45980</v>
      </c>
      <c r="B7" t="s">
        <v>44</v>
      </c>
      <c r="C7">
        <v>63564</v>
      </c>
      <c r="D7">
        <v>1525</v>
      </c>
      <c r="E7" t="s">
        <v>62</v>
      </c>
      <c r="F7" t="s">
        <v>46</v>
      </c>
      <c r="G7" s="77" t="s">
        <v>57</v>
      </c>
      <c r="H7" t="s">
        <v>54</v>
      </c>
      <c r="J7" t="s">
        <v>50</v>
      </c>
      <c r="K7">
        <v>3</v>
      </c>
      <c r="L7" s="22">
        <v>39</v>
      </c>
      <c r="M7">
        <v>480.46448898315361</v>
      </c>
      <c r="N7">
        <v>34</v>
      </c>
      <c r="P7">
        <v>79.9560546875</v>
      </c>
      <c r="Q7" s="22">
        <v>10</v>
      </c>
      <c r="S7" s="88">
        <v>10</v>
      </c>
      <c r="U7" s="22">
        <v>0</v>
      </c>
      <c r="V7" s="22">
        <v>0</v>
      </c>
      <c r="W7" s="22">
        <v>10</v>
      </c>
      <c r="X7" s="22">
        <v>18</v>
      </c>
      <c r="Y7" s="22">
        <v>23</v>
      </c>
      <c r="Z7" s="22">
        <v>27</v>
      </c>
      <c r="AA7" s="22">
        <v>30</v>
      </c>
      <c r="AB7" s="22">
        <v>31</v>
      </c>
      <c r="AC7" s="22">
        <v>33</v>
      </c>
      <c r="AD7" s="22">
        <v>34</v>
      </c>
      <c r="AE7" s="22">
        <v>34</v>
      </c>
      <c r="AF7" s="22">
        <v>38</v>
      </c>
      <c r="AG7" s="22">
        <v>39</v>
      </c>
      <c r="AH7" s="22">
        <v>25</v>
      </c>
      <c r="AI7" s="22">
        <v>2</v>
      </c>
      <c r="AJ7" s="22">
        <v>2</v>
      </c>
    </row>
    <row r="8" spans="1:36">
      <c r="A8" s="2">
        <v>45980</v>
      </c>
      <c r="B8" t="s">
        <v>44</v>
      </c>
      <c r="C8">
        <v>63565</v>
      </c>
      <c r="D8">
        <v>1526</v>
      </c>
      <c r="E8" t="s">
        <v>63</v>
      </c>
      <c r="F8" t="s">
        <v>46</v>
      </c>
      <c r="G8" s="77" t="s">
        <v>57</v>
      </c>
      <c r="H8" t="s">
        <v>48</v>
      </c>
      <c r="J8" t="s">
        <v>50</v>
      </c>
      <c r="K8">
        <v>3</v>
      </c>
      <c r="L8" s="22">
        <v>3</v>
      </c>
      <c r="M8">
        <v>278.21674728393521</v>
      </c>
      <c r="N8">
        <v>2</v>
      </c>
      <c r="P8">
        <v>66.5283203125</v>
      </c>
      <c r="Q8" s="22">
        <v>1</v>
      </c>
      <c r="S8" s="88">
        <v>1</v>
      </c>
      <c r="U8" s="22">
        <v>0</v>
      </c>
      <c r="V8" s="22">
        <v>0</v>
      </c>
      <c r="W8" s="22">
        <v>1</v>
      </c>
      <c r="X8" s="22">
        <v>3</v>
      </c>
      <c r="Y8" s="22">
        <v>2</v>
      </c>
      <c r="Z8" s="22">
        <v>2</v>
      </c>
      <c r="AA8" s="22">
        <v>2</v>
      </c>
      <c r="AB8" s="22">
        <v>2</v>
      </c>
      <c r="AC8" s="22">
        <v>1</v>
      </c>
      <c r="AD8" s="22">
        <v>1</v>
      </c>
      <c r="AE8" s="22">
        <v>1</v>
      </c>
      <c r="AF8" s="22">
        <v>1</v>
      </c>
      <c r="AG8" s="22">
        <v>1</v>
      </c>
      <c r="AH8" s="22">
        <v>1</v>
      </c>
      <c r="AI8" s="22">
        <v>1</v>
      </c>
      <c r="AJ8" s="22">
        <v>1</v>
      </c>
    </row>
    <row r="9" spans="1:36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G9" s="77" t="s">
        <v>57</v>
      </c>
      <c r="H9" t="s">
        <v>48</v>
      </c>
      <c r="J9" t="s">
        <v>50</v>
      </c>
      <c r="K9">
        <v>6</v>
      </c>
      <c r="L9" s="22">
        <v>7</v>
      </c>
      <c r="M9">
        <v>581.44669103622414</v>
      </c>
      <c r="N9">
        <v>7</v>
      </c>
      <c r="P9">
        <v>203.2470703125</v>
      </c>
      <c r="Q9" s="22">
        <v>1</v>
      </c>
      <c r="S9" s="88">
        <v>1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1</v>
      </c>
      <c r="AA9" s="22">
        <v>4</v>
      </c>
      <c r="AB9" s="22">
        <v>4</v>
      </c>
      <c r="AC9" s="22">
        <v>5</v>
      </c>
      <c r="AD9" s="22">
        <v>5</v>
      </c>
      <c r="AE9" s="22">
        <v>6</v>
      </c>
      <c r="AF9" s="22">
        <v>7</v>
      </c>
      <c r="AG9" s="22">
        <v>7</v>
      </c>
      <c r="AH9" s="22">
        <v>5</v>
      </c>
      <c r="AI9" s="22">
        <v>6</v>
      </c>
      <c r="AJ9" s="22">
        <v>4</v>
      </c>
    </row>
    <row r="10" spans="1:36">
      <c r="A10" s="2">
        <v>45981</v>
      </c>
      <c r="B10" t="s">
        <v>44</v>
      </c>
      <c r="C10">
        <v>63552</v>
      </c>
      <c r="D10">
        <v>1528</v>
      </c>
      <c r="E10" t="s">
        <v>51</v>
      </c>
      <c r="F10" t="s">
        <v>65</v>
      </c>
      <c r="G10" s="77" t="s">
        <v>57</v>
      </c>
      <c r="H10" t="s">
        <v>48</v>
      </c>
      <c r="I10" t="s">
        <v>66</v>
      </c>
      <c r="J10" t="s">
        <v>50</v>
      </c>
      <c r="K10">
        <v>4</v>
      </c>
      <c r="L10" s="22">
        <v>5</v>
      </c>
      <c r="M10">
        <v>454.78508567809973</v>
      </c>
      <c r="N10">
        <v>1</v>
      </c>
      <c r="P10">
        <v>148.92578125</v>
      </c>
      <c r="Q10" s="22">
        <v>1</v>
      </c>
      <c r="S10" s="88">
        <v>1</v>
      </c>
      <c r="U10" s="22">
        <v>0</v>
      </c>
      <c r="V10" s="22">
        <v>0</v>
      </c>
      <c r="W10" s="22">
        <v>0</v>
      </c>
      <c r="X10" s="22">
        <v>1</v>
      </c>
      <c r="Y10" s="22">
        <v>2</v>
      </c>
      <c r="Z10" s="22">
        <v>3</v>
      </c>
      <c r="AA10" s="22">
        <v>5</v>
      </c>
      <c r="AB10" s="22">
        <v>4</v>
      </c>
      <c r="AC10" s="22">
        <v>4</v>
      </c>
      <c r="AD10" s="22">
        <v>2</v>
      </c>
      <c r="AE10" s="22">
        <v>1</v>
      </c>
      <c r="AF10" s="22">
        <v>1</v>
      </c>
      <c r="AG10" s="22">
        <v>1</v>
      </c>
      <c r="AH10" s="22">
        <v>1</v>
      </c>
      <c r="AI10" s="22">
        <v>1</v>
      </c>
      <c r="AJ10" s="22">
        <v>1</v>
      </c>
    </row>
    <row r="11" spans="1:36">
      <c r="A11" s="2">
        <v>45981</v>
      </c>
      <c r="B11" t="s">
        <v>44</v>
      </c>
      <c r="C11">
        <v>63553</v>
      </c>
      <c r="D11">
        <v>1529</v>
      </c>
      <c r="E11" t="s">
        <v>53</v>
      </c>
      <c r="F11" t="s">
        <v>65</v>
      </c>
      <c r="G11" s="77" t="s">
        <v>57</v>
      </c>
      <c r="H11" t="s">
        <v>54</v>
      </c>
      <c r="I11" t="s">
        <v>67</v>
      </c>
      <c r="J11" t="s">
        <v>50</v>
      </c>
      <c r="K11">
        <v>4</v>
      </c>
      <c r="L11" s="22">
        <v>24</v>
      </c>
      <c r="M11">
        <v>581.5647583007808</v>
      </c>
      <c r="N11">
        <v>0</v>
      </c>
      <c r="P11">
        <v>156.8603515625</v>
      </c>
      <c r="Q11" s="22">
        <v>24</v>
      </c>
      <c r="S11" s="88">
        <v>10</v>
      </c>
      <c r="U11" s="22">
        <v>0</v>
      </c>
      <c r="V11" s="22">
        <v>0</v>
      </c>
      <c r="W11" s="22">
        <v>0</v>
      </c>
      <c r="X11" s="22">
        <v>10</v>
      </c>
      <c r="Y11" s="22">
        <v>24</v>
      </c>
      <c r="Z11" s="22">
        <v>22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</row>
    <row r="12" spans="1:36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G12" s="77" t="s">
        <v>47</v>
      </c>
      <c r="H12" t="s">
        <v>54</v>
      </c>
      <c r="J12" t="s">
        <v>50</v>
      </c>
      <c r="K12">
        <v>5</v>
      </c>
      <c r="L12" s="22">
        <v>19</v>
      </c>
      <c r="M12">
        <v>1112.3748092651342</v>
      </c>
      <c r="N12" t="s">
        <v>277</v>
      </c>
      <c r="P12">
        <v>197.75390625</v>
      </c>
      <c r="Q12" s="22">
        <v>1</v>
      </c>
      <c r="S12" s="88">
        <v>1</v>
      </c>
      <c r="U12" s="22">
        <v>0</v>
      </c>
      <c r="V12" s="22">
        <v>0</v>
      </c>
      <c r="W12" s="22">
        <v>0</v>
      </c>
      <c r="X12" s="22">
        <v>0</v>
      </c>
      <c r="Y12" s="22">
        <v>1</v>
      </c>
      <c r="Z12" s="22">
        <v>6</v>
      </c>
      <c r="AA12" s="22">
        <v>7</v>
      </c>
      <c r="AB12" s="22">
        <v>11</v>
      </c>
      <c r="AC12" s="22">
        <v>12</v>
      </c>
      <c r="AD12" s="22">
        <v>15</v>
      </c>
      <c r="AE12" s="22">
        <v>14</v>
      </c>
      <c r="AF12" s="22">
        <v>16</v>
      </c>
      <c r="AG12" s="22">
        <v>19</v>
      </c>
      <c r="AH12" s="22">
        <v>19</v>
      </c>
      <c r="AI12" s="22">
        <v>19</v>
      </c>
      <c r="AJ12" s="22">
        <v>14</v>
      </c>
    </row>
    <row r="13" spans="1:36">
      <c r="A13" s="2">
        <v>45985</v>
      </c>
      <c r="B13" t="s">
        <v>69</v>
      </c>
      <c r="C13">
        <v>63550</v>
      </c>
      <c r="D13" s="19">
        <v>1531</v>
      </c>
      <c r="E13" t="s">
        <v>68</v>
      </c>
      <c r="F13" t="s">
        <v>65</v>
      </c>
      <c r="G13" s="77" t="s">
        <v>47</v>
      </c>
      <c r="H13" t="s">
        <v>54</v>
      </c>
      <c r="J13" t="s">
        <v>50</v>
      </c>
      <c r="K13">
        <v>3</v>
      </c>
      <c r="L13" s="22">
        <v>22</v>
      </c>
      <c r="M13">
        <v>637.73948383331253</v>
      </c>
      <c r="N13">
        <v>3</v>
      </c>
      <c r="P13">
        <v>83.6181640625</v>
      </c>
      <c r="Q13" s="22">
        <v>6</v>
      </c>
      <c r="S13" s="88">
        <v>6</v>
      </c>
      <c r="U13" s="22">
        <v>0</v>
      </c>
      <c r="V13" s="22">
        <v>0</v>
      </c>
      <c r="W13" s="22">
        <v>6</v>
      </c>
      <c r="X13" s="22">
        <v>10</v>
      </c>
      <c r="Y13" s="22">
        <v>15</v>
      </c>
      <c r="Z13" s="22">
        <v>15</v>
      </c>
      <c r="AA13" s="22">
        <v>20</v>
      </c>
      <c r="AB13" s="22">
        <v>22</v>
      </c>
      <c r="AC13" s="22">
        <v>10</v>
      </c>
      <c r="AD13" s="22">
        <v>5</v>
      </c>
      <c r="AE13" s="22">
        <v>5</v>
      </c>
      <c r="AF13" s="22">
        <v>4</v>
      </c>
      <c r="AG13" s="22">
        <v>3</v>
      </c>
      <c r="AH13" s="22">
        <v>3</v>
      </c>
      <c r="AI13" s="22">
        <v>3</v>
      </c>
      <c r="AJ13" s="22">
        <v>3</v>
      </c>
    </row>
    <row r="14" spans="1:36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G14" s="77" t="s">
        <v>47</v>
      </c>
      <c r="H14" t="s">
        <v>54</v>
      </c>
      <c r="I14" t="s">
        <v>73</v>
      </c>
      <c r="J14" t="s">
        <v>50</v>
      </c>
      <c r="K14">
        <v>3</v>
      </c>
      <c r="L14" s="22">
        <v>27</v>
      </c>
      <c r="M14">
        <v>607.02897644042957</v>
      </c>
      <c r="N14">
        <v>17</v>
      </c>
      <c r="P14">
        <v>117.1875</v>
      </c>
      <c r="Q14" s="22">
        <v>11</v>
      </c>
      <c r="S14" s="88">
        <v>2</v>
      </c>
      <c r="U14" s="22">
        <v>0</v>
      </c>
      <c r="V14" s="22">
        <v>0</v>
      </c>
      <c r="W14" s="22">
        <v>2</v>
      </c>
      <c r="X14" s="22">
        <v>11</v>
      </c>
      <c r="Y14" s="22">
        <v>15</v>
      </c>
      <c r="Z14" s="22">
        <v>20</v>
      </c>
      <c r="AA14" s="22">
        <v>21</v>
      </c>
      <c r="AB14" s="22">
        <v>24</v>
      </c>
      <c r="AC14" s="22">
        <v>24</v>
      </c>
      <c r="AD14" s="22">
        <v>27</v>
      </c>
      <c r="AE14" s="22">
        <v>22</v>
      </c>
      <c r="AF14" s="22">
        <v>19</v>
      </c>
      <c r="AG14" s="22">
        <v>17</v>
      </c>
      <c r="AH14" s="22">
        <v>13</v>
      </c>
      <c r="AI14" s="22">
        <v>1</v>
      </c>
      <c r="AJ14" s="22">
        <v>1</v>
      </c>
    </row>
    <row r="15" spans="1:36">
      <c r="A15" s="2">
        <v>45985</v>
      </c>
      <c r="B15" t="s">
        <v>69</v>
      </c>
      <c r="C15">
        <v>63550</v>
      </c>
      <c r="D15" s="19">
        <v>1533</v>
      </c>
      <c r="E15" t="s">
        <v>74</v>
      </c>
      <c r="F15" t="s">
        <v>65</v>
      </c>
      <c r="G15" s="77" t="s">
        <v>47</v>
      </c>
      <c r="H15" t="s">
        <v>54</v>
      </c>
      <c r="J15" t="s">
        <v>50</v>
      </c>
      <c r="K15">
        <v>2</v>
      </c>
      <c r="L15" s="22">
        <v>42</v>
      </c>
      <c r="M15">
        <v>280.46553897857592</v>
      </c>
      <c r="N15">
        <v>30</v>
      </c>
      <c r="P15">
        <v>63.4765625</v>
      </c>
      <c r="Q15" s="22">
        <v>15</v>
      </c>
      <c r="S15" s="88">
        <v>1</v>
      </c>
      <c r="U15" s="22">
        <v>0</v>
      </c>
      <c r="V15" s="22">
        <v>1</v>
      </c>
      <c r="W15" s="22">
        <v>15</v>
      </c>
      <c r="X15" s="22">
        <v>21</v>
      </c>
      <c r="Y15" s="22">
        <v>25</v>
      </c>
      <c r="Z15" s="22">
        <v>28</v>
      </c>
      <c r="AA15" s="22">
        <v>30</v>
      </c>
      <c r="AB15" s="22">
        <v>32</v>
      </c>
      <c r="AC15" s="22">
        <v>35</v>
      </c>
      <c r="AD15" s="22">
        <v>38</v>
      </c>
      <c r="AE15" s="22">
        <v>42</v>
      </c>
      <c r="AF15" s="22">
        <v>10</v>
      </c>
      <c r="AG15" s="22">
        <v>1</v>
      </c>
      <c r="AH15" s="22">
        <v>1</v>
      </c>
      <c r="AI15" s="22">
        <v>1</v>
      </c>
      <c r="AJ15" s="22">
        <v>1</v>
      </c>
    </row>
    <row r="16" spans="1:36">
      <c r="A16" s="2">
        <v>45985</v>
      </c>
      <c r="B16" t="s">
        <v>44</v>
      </c>
      <c r="C16">
        <v>63551</v>
      </c>
      <c r="D16">
        <v>1534</v>
      </c>
      <c r="E16" t="s">
        <v>76</v>
      </c>
      <c r="F16" t="s">
        <v>65</v>
      </c>
      <c r="G16" s="77" t="s">
        <v>47</v>
      </c>
      <c r="H16" t="s">
        <v>48</v>
      </c>
      <c r="I16" t="s">
        <v>77</v>
      </c>
      <c r="J16" t="s">
        <v>50</v>
      </c>
      <c r="K16">
        <v>8</v>
      </c>
      <c r="L16" s="22">
        <v>24</v>
      </c>
      <c r="M16">
        <v>1061.6873245239249</v>
      </c>
      <c r="N16" t="s">
        <v>277</v>
      </c>
      <c r="P16">
        <v>261.8408203125</v>
      </c>
      <c r="Q16" s="22">
        <v>0</v>
      </c>
      <c r="S16" s="88">
        <v>6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6</v>
      </c>
      <c r="AC16" s="22">
        <v>13</v>
      </c>
      <c r="AD16" s="22">
        <v>20</v>
      </c>
      <c r="AE16" s="22">
        <v>21</v>
      </c>
      <c r="AF16" s="22">
        <v>24</v>
      </c>
      <c r="AG16" s="22">
        <v>24</v>
      </c>
      <c r="AH16" s="22">
        <v>19</v>
      </c>
      <c r="AI16" s="22">
        <v>14</v>
      </c>
      <c r="AJ16" s="22">
        <v>12</v>
      </c>
    </row>
    <row r="17" spans="1:36">
      <c r="A17" s="2">
        <v>46000</v>
      </c>
      <c r="B17" t="s">
        <v>69</v>
      </c>
      <c r="C17">
        <v>63542</v>
      </c>
      <c r="D17" s="19">
        <v>1536</v>
      </c>
      <c r="E17" t="s">
        <v>78</v>
      </c>
      <c r="F17" t="s">
        <v>65</v>
      </c>
      <c r="G17" s="77" t="s">
        <v>57</v>
      </c>
      <c r="H17" t="s">
        <v>48</v>
      </c>
      <c r="I17" t="s">
        <v>79</v>
      </c>
      <c r="J17" t="s">
        <v>80</v>
      </c>
      <c r="K17">
        <v>4</v>
      </c>
      <c r="L17" s="22">
        <v>16</v>
      </c>
      <c r="M17">
        <v>560.82097911834671</v>
      </c>
      <c r="N17">
        <v>14</v>
      </c>
      <c r="P17">
        <v>130.615234375</v>
      </c>
      <c r="Q17" s="22">
        <v>8</v>
      </c>
      <c r="S17" s="88">
        <v>8</v>
      </c>
      <c r="U17" s="22">
        <v>0</v>
      </c>
      <c r="V17" s="22">
        <v>0</v>
      </c>
      <c r="W17" s="22">
        <v>0</v>
      </c>
      <c r="X17" s="22">
        <v>8</v>
      </c>
      <c r="Y17" s="22">
        <v>12</v>
      </c>
      <c r="Z17" s="22">
        <v>14</v>
      </c>
      <c r="AA17" s="22">
        <v>15</v>
      </c>
      <c r="AB17" s="22">
        <v>16</v>
      </c>
      <c r="AC17" s="22">
        <v>16</v>
      </c>
      <c r="AD17" s="22">
        <v>16</v>
      </c>
      <c r="AE17" s="22">
        <v>16</v>
      </c>
      <c r="AF17" s="22">
        <v>14</v>
      </c>
      <c r="AG17" s="22">
        <v>14</v>
      </c>
      <c r="AH17" s="22">
        <v>13</v>
      </c>
      <c r="AI17" s="22">
        <v>14</v>
      </c>
      <c r="AJ17" s="22">
        <v>1</v>
      </c>
    </row>
    <row r="18" spans="1:36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G18" s="77" t="s">
        <v>57</v>
      </c>
      <c r="H18" t="s">
        <v>54</v>
      </c>
      <c r="I18" t="s">
        <v>81</v>
      </c>
      <c r="J18" t="s">
        <v>50</v>
      </c>
      <c r="K18">
        <v>12</v>
      </c>
      <c r="L18" s="22">
        <v>21</v>
      </c>
      <c r="M18">
        <v>1439.9500122070231</v>
      </c>
      <c r="N18" t="s">
        <v>277</v>
      </c>
      <c r="P18">
        <v>433.9599609375</v>
      </c>
      <c r="Q18" s="22">
        <v>0</v>
      </c>
      <c r="S18" s="88">
        <v>6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6</v>
      </c>
      <c r="AG18" s="22">
        <v>11</v>
      </c>
      <c r="AH18" s="22">
        <v>16</v>
      </c>
      <c r="AI18" s="22">
        <v>19</v>
      </c>
      <c r="AJ18" s="22">
        <v>21</v>
      </c>
    </row>
    <row r="19" spans="1:36">
      <c r="A19" s="2">
        <v>46000</v>
      </c>
      <c r="B19" t="s">
        <v>69</v>
      </c>
      <c r="C19">
        <v>63543</v>
      </c>
      <c r="D19" s="19">
        <v>1538</v>
      </c>
      <c r="E19" t="s">
        <v>82</v>
      </c>
      <c r="F19" t="s">
        <v>65</v>
      </c>
      <c r="G19" s="77" t="s">
        <v>57</v>
      </c>
      <c r="H19" t="s">
        <v>54</v>
      </c>
      <c r="I19" t="s">
        <v>83</v>
      </c>
      <c r="J19" t="s">
        <v>80</v>
      </c>
      <c r="K19">
        <v>5</v>
      </c>
      <c r="L19" s="22">
        <v>33</v>
      </c>
      <c r="M19">
        <v>688.46060562133778</v>
      </c>
      <c r="N19">
        <v>29</v>
      </c>
      <c r="P19">
        <v>150.146484375</v>
      </c>
      <c r="Q19" s="22">
        <v>10</v>
      </c>
      <c r="S19" s="88">
        <v>10</v>
      </c>
      <c r="U19" s="22">
        <v>0</v>
      </c>
      <c r="V19" s="22">
        <v>0</v>
      </c>
      <c r="W19" s="22">
        <v>0</v>
      </c>
      <c r="X19" s="22">
        <v>0</v>
      </c>
      <c r="Y19" s="22">
        <v>10</v>
      </c>
      <c r="Z19" s="22">
        <v>15</v>
      </c>
      <c r="AA19" s="22">
        <v>18</v>
      </c>
      <c r="AB19" s="22">
        <v>20</v>
      </c>
      <c r="AC19" s="22">
        <v>22</v>
      </c>
      <c r="AD19" s="22">
        <v>23</v>
      </c>
      <c r="AE19" s="22">
        <v>24</v>
      </c>
      <c r="AF19" s="22">
        <v>27</v>
      </c>
      <c r="AG19" s="22">
        <v>29</v>
      </c>
      <c r="AH19" s="22">
        <v>31</v>
      </c>
      <c r="AI19" s="22">
        <v>33</v>
      </c>
      <c r="AJ19" s="22">
        <v>33</v>
      </c>
    </row>
    <row r="20" spans="1:36">
      <c r="A20" s="2">
        <v>46000</v>
      </c>
      <c r="B20" t="s">
        <v>44</v>
      </c>
      <c r="C20">
        <v>63543</v>
      </c>
      <c r="D20">
        <v>1539</v>
      </c>
      <c r="E20" t="s">
        <v>84</v>
      </c>
      <c r="F20" t="s">
        <v>65</v>
      </c>
      <c r="G20" s="77" t="s">
        <v>57</v>
      </c>
      <c r="H20" t="s">
        <v>54</v>
      </c>
      <c r="I20" t="s">
        <v>85</v>
      </c>
      <c r="J20" t="s">
        <v>50</v>
      </c>
      <c r="K20">
        <v>4</v>
      </c>
      <c r="L20" s="22">
        <v>57</v>
      </c>
      <c r="M20">
        <v>505.64947891235272</v>
      </c>
      <c r="N20">
        <v>50</v>
      </c>
      <c r="P20">
        <v>133.056640625</v>
      </c>
      <c r="Q20" s="22">
        <v>6</v>
      </c>
      <c r="S20" s="88">
        <v>6</v>
      </c>
      <c r="U20" s="22">
        <v>0</v>
      </c>
      <c r="V20" s="22">
        <v>0</v>
      </c>
      <c r="W20" s="22">
        <v>0</v>
      </c>
      <c r="X20" s="22">
        <v>6</v>
      </c>
      <c r="Y20" s="22">
        <v>18</v>
      </c>
      <c r="Z20" s="22">
        <v>27</v>
      </c>
      <c r="AA20" s="22">
        <v>31</v>
      </c>
      <c r="AB20" s="22">
        <v>36</v>
      </c>
      <c r="AC20" s="22">
        <v>40</v>
      </c>
      <c r="AD20" s="22">
        <v>42</v>
      </c>
      <c r="AE20" s="22">
        <v>44</v>
      </c>
      <c r="AF20" s="22">
        <v>50</v>
      </c>
      <c r="AG20" s="22">
        <v>52</v>
      </c>
      <c r="AH20" s="22">
        <v>57</v>
      </c>
      <c r="AI20" s="22">
        <v>34</v>
      </c>
      <c r="AJ20" s="22">
        <v>7</v>
      </c>
    </row>
    <row r="21" spans="1:36">
      <c r="A21" s="2">
        <v>46001</v>
      </c>
      <c r="B21" t="s">
        <v>69</v>
      </c>
      <c r="C21">
        <v>63558</v>
      </c>
      <c r="D21">
        <v>1540</v>
      </c>
      <c r="E21" t="s">
        <v>86</v>
      </c>
      <c r="F21" t="s">
        <v>46</v>
      </c>
      <c r="G21" s="77" t="s">
        <v>47</v>
      </c>
      <c r="H21" t="s">
        <v>54</v>
      </c>
      <c r="J21" t="s">
        <v>50</v>
      </c>
      <c r="K21">
        <v>6</v>
      </c>
      <c r="L21" s="22">
        <v>4</v>
      </c>
      <c r="M21">
        <v>611.82882690429597</v>
      </c>
      <c r="N21">
        <v>1</v>
      </c>
      <c r="P21">
        <v>209.3505859375</v>
      </c>
      <c r="Q21" s="22">
        <v>1</v>
      </c>
      <c r="S21" s="88">
        <v>1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1</v>
      </c>
      <c r="AA21" s="22">
        <v>3</v>
      </c>
      <c r="AB21" s="22">
        <v>2</v>
      </c>
      <c r="AC21" s="22">
        <v>4</v>
      </c>
      <c r="AD21" s="22">
        <v>3</v>
      </c>
      <c r="AE21" s="22">
        <v>3</v>
      </c>
      <c r="AF21" s="22">
        <v>2</v>
      </c>
      <c r="AG21" s="22">
        <v>1</v>
      </c>
      <c r="AH21" s="22">
        <v>1</v>
      </c>
      <c r="AI21" s="22">
        <v>1</v>
      </c>
      <c r="AJ21" s="22">
        <v>1</v>
      </c>
    </row>
    <row r="22" spans="1:36">
      <c r="A22" s="2">
        <v>46001</v>
      </c>
      <c r="B22" t="s">
        <v>69</v>
      </c>
      <c r="C22">
        <v>63559</v>
      </c>
      <c r="D22" s="19">
        <v>1541</v>
      </c>
      <c r="E22" t="s">
        <v>87</v>
      </c>
      <c r="F22" t="s">
        <v>46</v>
      </c>
      <c r="G22" s="77" t="s">
        <v>47</v>
      </c>
      <c r="H22" t="s">
        <v>48</v>
      </c>
      <c r="I22" t="s">
        <v>88</v>
      </c>
      <c r="J22" t="s">
        <v>50</v>
      </c>
      <c r="K22">
        <v>4</v>
      </c>
      <c r="L22" s="22">
        <v>14</v>
      </c>
      <c r="M22">
        <v>713.84888839721657</v>
      </c>
      <c r="N22">
        <v>5</v>
      </c>
      <c r="P22">
        <v>338.7451171875</v>
      </c>
      <c r="Q22" s="22">
        <v>11</v>
      </c>
      <c r="S22" s="88">
        <v>1</v>
      </c>
      <c r="U22" s="22">
        <v>0</v>
      </c>
      <c r="V22" s="22">
        <v>0</v>
      </c>
      <c r="W22" s="22">
        <v>0</v>
      </c>
      <c r="X22" s="22">
        <v>1</v>
      </c>
      <c r="Y22" s="22">
        <v>4</v>
      </c>
      <c r="Z22" s="22">
        <v>7</v>
      </c>
      <c r="AA22" s="22">
        <v>9</v>
      </c>
      <c r="AB22" s="22">
        <v>11</v>
      </c>
      <c r="AC22" s="22">
        <v>14</v>
      </c>
      <c r="AD22" s="22">
        <v>13</v>
      </c>
      <c r="AE22" s="22">
        <v>13</v>
      </c>
      <c r="AF22" s="22">
        <v>10</v>
      </c>
      <c r="AG22" s="22">
        <v>12</v>
      </c>
      <c r="AH22" s="22">
        <v>5</v>
      </c>
      <c r="AI22" s="22">
        <v>1</v>
      </c>
      <c r="AJ22" s="22">
        <v>1</v>
      </c>
    </row>
    <row r="23" spans="1:36">
      <c r="A23" s="2">
        <v>46001</v>
      </c>
      <c r="B23" t="s">
        <v>90</v>
      </c>
      <c r="C23">
        <v>63559</v>
      </c>
      <c r="D23" s="19">
        <v>1542</v>
      </c>
      <c r="E23" t="s">
        <v>91</v>
      </c>
      <c r="F23" t="s">
        <v>46</v>
      </c>
      <c r="G23" s="77" t="s">
        <v>47</v>
      </c>
      <c r="H23" t="s">
        <v>48</v>
      </c>
      <c r="J23" t="s">
        <v>50</v>
      </c>
      <c r="L23" s="23" t="s">
        <v>92</v>
      </c>
      <c r="M23">
        <v>1207.318908691404</v>
      </c>
      <c r="N23" t="s">
        <v>277</v>
      </c>
      <c r="P23" s="4"/>
      <c r="Q23" s="23" t="s">
        <v>92</v>
      </c>
      <c r="S23" s="23" t="s">
        <v>92</v>
      </c>
      <c r="U23" s="23" t="s">
        <v>92</v>
      </c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>
      <c r="A24" s="2">
        <v>46002</v>
      </c>
      <c r="B24" t="s">
        <v>69</v>
      </c>
      <c r="C24">
        <v>63560</v>
      </c>
      <c r="D24">
        <v>1543</v>
      </c>
      <c r="E24" t="s">
        <v>93</v>
      </c>
      <c r="F24" t="s">
        <v>46</v>
      </c>
      <c r="G24" s="77" t="s">
        <v>57</v>
      </c>
      <c r="H24" t="s">
        <v>54</v>
      </c>
      <c r="I24" t="s">
        <v>94</v>
      </c>
      <c r="J24" t="s">
        <v>50</v>
      </c>
      <c r="K24">
        <v>5</v>
      </c>
      <c r="L24" s="22">
        <v>10</v>
      </c>
      <c r="M24">
        <v>866.2520751953125</v>
      </c>
      <c r="N24">
        <v>1</v>
      </c>
      <c r="P24">
        <v>191.0400390625</v>
      </c>
      <c r="Q24" s="22">
        <v>3</v>
      </c>
      <c r="S24" s="88">
        <v>3</v>
      </c>
      <c r="U24" s="22">
        <v>0</v>
      </c>
      <c r="V24" s="22">
        <v>0</v>
      </c>
      <c r="W24" s="22">
        <v>0</v>
      </c>
      <c r="X24" s="22">
        <v>0</v>
      </c>
      <c r="Y24" s="22">
        <v>3</v>
      </c>
      <c r="Z24" s="22">
        <v>6</v>
      </c>
      <c r="AA24" s="22">
        <v>7</v>
      </c>
      <c r="AB24" s="22">
        <v>10</v>
      </c>
      <c r="AC24" s="22">
        <v>7</v>
      </c>
      <c r="AD24" s="22">
        <v>8</v>
      </c>
      <c r="AE24" s="22">
        <v>7</v>
      </c>
      <c r="AF24" s="22">
        <v>9</v>
      </c>
      <c r="AG24" s="22">
        <v>1</v>
      </c>
      <c r="AH24" s="22">
        <v>1</v>
      </c>
      <c r="AI24" s="22">
        <v>1</v>
      </c>
      <c r="AJ24" s="22">
        <v>1</v>
      </c>
    </row>
    <row r="25" spans="1:36">
      <c r="A25" s="2">
        <v>46002</v>
      </c>
      <c r="B25" t="s">
        <v>69</v>
      </c>
      <c r="C25">
        <v>63561</v>
      </c>
      <c r="D25" s="19">
        <v>1544</v>
      </c>
      <c r="E25" t="s">
        <v>95</v>
      </c>
      <c r="F25" t="s">
        <v>46</v>
      </c>
      <c r="G25" s="77" t="s">
        <v>57</v>
      </c>
      <c r="H25" t="s">
        <v>48</v>
      </c>
      <c r="I25" t="s">
        <v>96</v>
      </c>
      <c r="J25" t="s">
        <v>50</v>
      </c>
      <c r="K25">
        <v>4</v>
      </c>
      <c r="L25" s="22">
        <v>4</v>
      </c>
      <c r="M25">
        <v>662.61943817138638</v>
      </c>
      <c r="N25">
        <v>1</v>
      </c>
      <c r="P25">
        <v>155.029296875</v>
      </c>
      <c r="Q25" s="22">
        <v>2</v>
      </c>
      <c r="S25" s="88">
        <v>1</v>
      </c>
      <c r="U25" s="22">
        <v>0</v>
      </c>
      <c r="V25" s="22">
        <v>0</v>
      </c>
      <c r="W25" s="22">
        <v>0</v>
      </c>
      <c r="X25" s="22">
        <v>1</v>
      </c>
      <c r="Y25" s="22">
        <v>2</v>
      </c>
      <c r="Z25" s="22">
        <v>2</v>
      </c>
      <c r="AA25" s="22">
        <v>4</v>
      </c>
      <c r="AB25" s="22">
        <v>3</v>
      </c>
      <c r="AC25" s="22">
        <v>2</v>
      </c>
      <c r="AD25" s="22">
        <v>3</v>
      </c>
      <c r="AE25" s="22">
        <v>3</v>
      </c>
      <c r="AF25" s="22">
        <v>2</v>
      </c>
      <c r="AG25" s="22">
        <v>1</v>
      </c>
      <c r="AH25" s="22">
        <v>1</v>
      </c>
      <c r="AI25" s="22">
        <v>1</v>
      </c>
      <c r="AJ25" s="22">
        <v>1</v>
      </c>
    </row>
    <row r="26" spans="1:36">
      <c r="A26" s="2">
        <v>46002</v>
      </c>
      <c r="B26" t="s">
        <v>44</v>
      </c>
      <c r="C26">
        <v>63561</v>
      </c>
      <c r="D26">
        <v>1545</v>
      </c>
      <c r="E26" t="s">
        <v>97</v>
      </c>
      <c r="F26" t="s">
        <v>46</v>
      </c>
      <c r="G26" s="77" t="s">
        <v>57</v>
      </c>
      <c r="H26" t="s">
        <v>48</v>
      </c>
      <c r="J26" t="s">
        <v>50</v>
      </c>
      <c r="K26">
        <v>2</v>
      </c>
      <c r="L26" s="22">
        <v>14</v>
      </c>
      <c r="M26">
        <v>151.89791870117139</v>
      </c>
      <c r="N26">
        <v>14</v>
      </c>
      <c r="P26">
        <v>43.3349609375</v>
      </c>
      <c r="Q26" s="22">
        <v>3</v>
      </c>
      <c r="S26" s="88">
        <v>3</v>
      </c>
      <c r="U26" s="22">
        <v>0</v>
      </c>
      <c r="V26" s="22">
        <v>3</v>
      </c>
      <c r="W26" s="22">
        <v>8</v>
      </c>
      <c r="X26" s="22">
        <v>14</v>
      </c>
      <c r="Y26" s="22">
        <v>14</v>
      </c>
      <c r="Z26" s="22">
        <v>12</v>
      </c>
      <c r="AA26" s="22">
        <v>10</v>
      </c>
      <c r="AB26" s="22">
        <v>8</v>
      </c>
      <c r="AC26" s="22">
        <v>5</v>
      </c>
      <c r="AD26" s="22">
        <v>1</v>
      </c>
      <c r="AE26" s="22">
        <v>1</v>
      </c>
      <c r="AF26" s="22">
        <v>1</v>
      </c>
      <c r="AG26" s="22">
        <v>1</v>
      </c>
      <c r="AH26" s="22">
        <v>1</v>
      </c>
      <c r="AI26" s="22">
        <v>1</v>
      </c>
      <c r="AJ26" s="22">
        <v>1</v>
      </c>
    </row>
    <row r="27" spans="1:36">
      <c r="A27" s="2">
        <v>46002</v>
      </c>
      <c r="B27" t="s">
        <v>90</v>
      </c>
      <c r="C27">
        <v>63560</v>
      </c>
      <c r="D27" s="19">
        <v>1546</v>
      </c>
      <c r="F27" t="s">
        <v>46</v>
      </c>
      <c r="G27" s="77" t="s">
        <v>57</v>
      </c>
      <c r="H27" t="s">
        <v>48</v>
      </c>
      <c r="J27" t="s">
        <v>50</v>
      </c>
      <c r="L27" s="23" t="s">
        <v>59</v>
      </c>
      <c r="P27" s="4"/>
      <c r="Q27" s="23" t="s">
        <v>59</v>
      </c>
      <c r="S27" s="23" t="s">
        <v>59</v>
      </c>
      <c r="U27" s="23" t="s">
        <v>59</v>
      </c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</row>
    <row r="28" spans="1:36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G28" s="77" t="s">
        <v>47</v>
      </c>
      <c r="H28" t="s">
        <v>54</v>
      </c>
      <c r="I28" t="s">
        <v>100</v>
      </c>
      <c r="J28" t="s">
        <v>50</v>
      </c>
      <c r="K28">
        <v>5</v>
      </c>
      <c r="L28" s="22">
        <v>17</v>
      </c>
      <c r="M28">
        <v>682.85671997070301</v>
      </c>
      <c r="N28">
        <v>9</v>
      </c>
      <c r="P28">
        <v>207.51953125</v>
      </c>
      <c r="Q28" s="22">
        <v>11</v>
      </c>
      <c r="S28" s="88">
        <v>4</v>
      </c>
      <c r="U28" s="22">
        <v>0</v>
      </c>
      <c r="V28" s="22">
        <v>0</v>
      </c>
      <c r="W28" s="22">
        <v>0</v>
      </c>
      <c r="X28" s="22">
        <v>0</v>
      </c>
      <c r="Y28" s="22">
        <v>4</v>
      </c>
      <c r="Z28" s="22">
        <v>11</v>
      </c>
      <c r="AA28" s="22">
        <v>17</v>
      </c>
      <c r="AB28" s="22">
        <v>13</v>
      </c>
      <c r="AC28" s="22">
        <v>11</v>
      </c>
      <c r="AD28" s="22">
        <v>12</v>
      </c>
      <c r="AE28" s="22">
        <v>11</v>
      </c>
      <c r="AF28" s="22">
        <v>11</v>
      </c>
      <c r="AG28" s="22">
        <v>9</v>
      </c>
      <c r="AH28" s="22">
        <v>10</v>
      </c>
      <c r="AI28" s="22">
        <v>8</v>
      </c>
      <c r="AJ28" s="22">
        <v>2</v>
      </c>
    </row>
    <row r="29" spans="1:36">
      <c r="A29" s="2">
        <v>46003</v>
      </c>
      <c r="B29" t="s">
        <v>101</v>
      </c>
      <c r="C29">
        <v>63544</v>
      </c>
      <c r="D29" s="19">
        <v>1548</v>
      </c>
      <c r="E29" t="s">
        <v>102</v>
      </c>
      <c r="F29" t="s">
        <v>65</v>
      </c>
      <c r="G29" s="77" t="s">
        <v>47</v>
      </c>
      <c r="H29" t="s">
        <v>54</v>
      </c>
      <c r="I29" t="s">
        <v>103</v>
      </c>
      <c r="J29" t="s">
        <v>50</v>
      </c>
      <c r="K29">
        <v>2</v>
      </c>
      <c r="L29" s="22">
        <v>47</v>
      </c>
      <c r="M29">
        <v>203.77206230163537</v>
      </c>
      <c r="N29">
        <v>42</v>
      </c>
      <c r="P29">
        <v>48.828125</v>
      </c>
      <c r="Q29" s="22">
        <v>12</v>
      </c>
      <c r="S29" s="88">
        <v>12</v>
      </c>
      <c r="U29" s="22">
        <v>0</v>
      </c>
      <c r="V29" s="22">
        <v>12</v>
      </c>
      <c r="W29" s="22">
        <v>26</v>
      </c>
      <c r="X29" s="22">
        <v>33</v>
      </c>
      <c r="Y29" s="22">
        <v>38</v>
      </c>
      <c r="Z29" s="22">
        <v>42</v>
      </c>
      <c r="AA29" s="22">
        <v>43</v>
      </c>
      <c r="AB29" s="22">
        <v>47</v>
      </c>
      <c r="AC29" s="22">
        <v>35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</row>
    <row r="30" spans="1:36">
      <c r="A30" s="2">
        <v>46003</v>
      </c>
      <c r="B30" t="s">
        <v>90</v>
      </c>
      <c r="C30">
        <v>63544</v>
      </c>
      <c r="D30">
        <v>1549</v>
      </c>
      <c r="E30" t="s">
        <v>104</v>
      </c>
      <c r="F30" t="s">
        <v>65</v>
      </c>
      <c r="G30" s="77" t="s">
        <v>47</v>
      </c>
      <c r="H30" t="s">
        <v>54</v>
      </c>
      <c r="J30" t="s">
        <v>80</v>
      </c>
      <c r="K30">
        <v>3</v>
      </c>
      <c r="L30" s="22">
        <v>7</v>
      </c>
      <c r="M30">
        <v>874.79209899902253</v>
      </c>
      <c r="N30">
        <v>2</v>
      </c>
      <c r="P30">
        <v>119.0185546875</v>
      </c>
      <c r="Q30" s="22">
        <v>2</v>
      </c>
      <c r="S30" s="88">
        <v>1</v>
      </c>
      <c r="U30" s="22">
        <v>0</v>
      </c>
      <c r="V30" s="22">
        <v>0</v>
      </c>
      <c r="W30" s="22">
        <v>1</v>
      </c>
      <c r="X30" s="22">
        <v>2</v>
      </c>
      <c r="Y30" s="22">
        <v>2</v>
      </c>
      <c r="Z30" s="22">
        <v>3</v>
      </c>
      <c r="AA30" s="22">
        <v>6</v>
      </c>
      <c r="AB30" s="22">
        <v>5</v>
      </c>
      <c r="AC30" s="22">
        <v>5</v>
      </c>
      <c r="AD30" s="22">
        <v>6</v>
      </c>
      <c r="AE30" s="22">
        <v>7</v>
      </c>
      <c r="AF30" s="22">
        <v>6</v>
      </c>
      <c r="AG30" s="22">
        <v>6</v>
      </c>
      <c r="AH30" s="22">
        <v>5</v>
      </c>
      <c r="AI30" s="22">
        <v>2</v>
      </c>
      <c r="AJ30" s="22">
        <v>2</v>
      </c>
    </row>
    <row r="31" spans="1:36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G31" s="77" t="s">
        <v>47</v>
      </c>
      <c r="H31" t="s">
        <v>48</v>
      </c>
      <c r="I31" t="s">
        <v>106</v>
      </c>
      <c r="J31" t="s">
        <v>50</v>
      </c>
      <c r="K31">
        <v>4</v>
      </c>
      <c r="L31" s="22">
        <v>9</v>
      </c>
      <c r="M31">
        <v>739.51105880737305</v>
      </c>
      <c r="N31">
        <v>1</v>
      </c>
      <c r="P31">
        <v>140.380859375</v>
      </c>
      <c r="Q31" s="22">
        <v>3</v>
      </c>
      <c r="S31" s="88">
        <v>3</v>
      </c>
      <c r="U31" s="22">
        <v>0</v>
      </c>
      <c r="V31" s="22">
        <v>0</v>
      </c>
      <c r="W31" s="22">
        <v>0</v>
      </c>
      <c r="X31" s="22">
        <v>3</v>
      </c>
      <c r="Y31" s="22">
        <v>7</v>
      </c>
      <c r="Z31" s="22">
        <v>7</v>
      </c>
      <c r="AA31" s="22">
        <v>9</v>
      </c>
      <c r="AB31" s="22">
        <v>8</v>
      </c>
      <c r="AC31" s="22">
        <v>6</v>
      </c>
      <c r="AD31" s="22">
        <v>6</v>
      </c>
      <c r="AE31" s="22">
        <v>2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</row>
    <row r="32" spans="1:36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G32" s="77" t="s">
        <v>47</v>
      </c>
      <c r="H32" t="s">
        <v>108</v>
      </c>
      <c r="I32" t="s">
        <v>109</v>
      </c>
      <c r="J32" t="s">
        <v>50</v>
      </c>
      <c r="K32">
        <v>4</v>
      </c>
      <c r="L32" s="22">
        <v>8</v>
      </c>
      <c r="M32">
        <v>480.37746429443274</v>
      </c>
      <c r="N32">
        <v>6</v>
      </c>
      <c r="P32">
        <v>105.5908203125</v>
      </c>
      <c r="Q32" s="22">
        <v>3</v>
      </c>
      <c r="S32" s="88">
        <v>3</v>
      </c>
      <c r="U32" s="22">
        <v>0</v>
      </c>
      <c r="V32" s="22">
        <v>0</v>
      </c>
      <c r="W32" s="22">
        <v>0</v>
      </c>
      <c r="X32" s="22">
        <v>3</v>
      </c>
      <c r="Y32" s="22">
        <v>4</v>
      </c>
      <c r="Z32" s="22">
        <v>5</v>
      </c>
      <c r="AA32" s="22">
        <v>6</v>
      </c>
      <c r="AB32" s="22">
        <v>8</v>
      </c>
      <c r="AC32" s="22">
        <v>7</v>
      </c>
      <c r="AD32" s="22">
        <v>7</v>
      </c>
      <c r="AE32" s="22">
        <v>6</v>
      </c>
      <c r="AF32" s="22">
        <v>6</v>
      </c>
      <c r="AG32" s="22">
        <v>5</v>
      </c>
      <c r="AH32" s="22">
        <v>4</v>
      </c>
      <c r="AI32" s="22">
        <v>2</v>
      </c>
      <c r="AJ32" s="22">
        <v>2</v>
      </c>
    </row>
    <row r="33" spans="1:36">
      <c r="A33" s="2">
        <v>46003</v>
      </c>
      <c r="B33" t="s">
        <v>90</v>
      </c>
      <c r="C33">
        <v>63545</v>
      </c>
      <c r="D33" s="81">
        <v>1552</v>
      </c>
      <c r="E33" t="s">
        <v>110</v>
      </c>
      <c r="F33" t="s">
        <v>65</v>
      </c>
      <c r="G33" s="77" t="s">
        <v>47</v>
      </c>
      <c r="H33" t="s">
        <v>48</v>
      </c>
      <c r="J33" t="s">
        <v>50</v>
      </c>
      <c r="K33">
        <v>5</v>
      </c>
      <c r="L33" s="22">
        <v>26</v>
      </c>
      <c r="M33">
        <v>617.44845581054597</v>
      </c>
      <c r="N33">
        <v>23</v>
      </c>
      <c r="P33">
        <v>224.609375</v>
      </c>
      <c r="Q33" s="22">
        <v>11</v>
      </c>
      <c r="S33" s="88">
        <v>5</v>
      </c>
      <c r="U33" s="22">
        <v>0</v>
      </c>
      <c r="V33" s="22">
        <v>0</v>
      </c>
      <c r="W33" s="22">
        <v>0</v>
      </c>
      <c r="X33" s="22">
        <v>0</v>
      </c>
      <c r="Y33" s="22">
        <v>5</v>
      </c>
      <c r="Z33" s="22">
        <v>11</v>
      </c>
      <c r="AA33" s="22">
        <v>14</v>
      </c>
      <c r="AB33" s="22">
        <v>16</v>
      </c>
      <c r="AC33" s="22">
        <v>18</v>
      </c>
      <c r="AD33" s="22">
        <v>20</v>
      </c>
      <c r="AE33" s="22">
        <v>24</v>
      </c>
      <c r="AF33" s="22">
        <v>26</v>
      </c>
      <c r="AG33" s="22">
        <v>23</v>
      </c>
      <c r="AH33" s="22">
        <v>8</v>
      </c>
      <c r="AI33" s="22">
        <v>2</v>
      </c>
      <c r="AJ33" s="22">
        <v>2</v>
      </c>
    </row>
    <row r="34" spans="1:36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G34" s="77" t="s">
        <v>57</v>
      </c>
      <c r="H34" t="s">
        <v>48</v>
      </c>
      <c r="J34" t="s">
        <v>50</v>
      </c>
      <c r="K34">
        <v>4</v>
      </c>
      <c r="L34" s="22">
        <v>40</v>
      </c>
      <c r="M34">
        <v>859.00775241851738</v>
      </c>
      <c r="N34">
        <v>39</v>
      </c>
      <c r="P34">
        <v>134.8876953125</v>
      </c>
      <c r="Q34" s="22">
        <v>11</v>
      </c>
      <c r="S34" s="88">
        <v>11</v>
      </c>
      <c r="U34" s="22">
        <v>0</v>
      </c>
      <c r="V34" s="22">
        <v>0</v>
      </c>
      <c r="W34" s="22">
        <v>0</v>
      </c>
      <c r="X34" s="22">
        <v>11</v>
      </c>
      <c r="Y34" s="22">
        <v>19</v>
      </c>
      <c r="Z34" s="22">
        <v>26</v>
      </c>
      <c r="AA34" s="22">
        <v>30</v>
      </c>
      <c r="AB34" s="22">
        <v>32</v>
      </c>
      <c r="AC34" s="22">
        <v>34</v>
      </c>
      <c r="AD34" s="22">
        <v>34</v>
      </c>
      <c r="AE34" s="22">
        <v>35</v>
      </c>
      <c r="AF34" s="22">
        <v>36</v>
      </c>
      <c r="AG34" s="22">
        <v>37</v>
      </c>
      <c r="AH34" s="22">
        <v>38</v>
      </c>
      <c r="AI34" s="22">
        <v>39</v>
      </c>
      <c r="AJ34" s="22">
        <v>40</v>
      </c>
    </row>
    <row r="35" spans="1:36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G35" s="77" t="s">
        <v>57</v>
      </c>
      <c r="H35" t="s">
        <v>48</v>
      </c>
      <c r="J35" t="s">
        <v>50</v>
      </c>
      <c r="K35">
        <v>4</v>
      </c>
      <c r="L35" s="22">
        <v>20</v>
      </c>
      <c r="M35">
        <v>867.0733308792112</v>
      </c>
      <c r="N35">
        <v>2</v>
      </c>
      <c r="P35">
        <v>139.16015625</v>
      </c>
      <c r="Q35" s="22">
        <v>4</v>
      </c>
      <c r="S35" s="88">
        <v>4</v>
      </c>
      <c r="U35" s="22">
        <v>0</v>
      </c>
      <c r="V35" s="22">
        <v>0</v>
      </c>
      <c r="W35" s="22">
        <v>0</v>
      </c>
      <c r="X35" s="22">
        <v>4</v>
      </c>
      <c r="Y35" s="22">
        <v>7</v>
      </c>
      <c r="Z35" s="22">
        <v>11</v>
      </c>
      <c r="AA35" s="22">
        <v>13</v>
      </c>
      <c r="AB35" s="22">
        <v>15</v>
      </c>
      <c r="AC35" s="22">
        <v>17</v>
      </c>
      <c r="AD35" s="22">
        <v>17</v>
      </c>
      <c r="AE35" s="22">
        <v>20</v>
      </c>
      <c r="AF35" s="22">
        <v>7</v>
      </c>
      <c r="AG35" s="22">
        <v>3</v>
      </c>
      <c r="AH35" s="22">
        <v>2</v>
      </c>
      <c r="AI35" s="22">
        <v>2</v>
      </c>
      <c r="AJ35" s="22">
        <v>2</v>
      </c>
    </row>
    <row r="36" spans="1:36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G36" s="77" t="s">
        <v>57</v>
      </c>
      <c r="H36" t="s">
        <v>48</v>
      </c>
      <c r="I36" t="s">
        <v>112</v>
      </c>
      <c r="J36" t="s">
        <v>50</v>
      </c>
      <c r="K36">
        <v>2</v>
      </c>
      <c r="L36" s="22">
        <v>36</v>
      </c>
      <c r="M36">
        <v>227.6470804214471</v>
      </c>
      <c r="N36">
        <v>36</v>
      </c>
      <c r="P36">
        <v>37.841796875</v>
      </c>
      <c r="Q36" s="22">
        <v>18</v>
      </c>
      <c r="S36" s="88">
        <v>18</v>
      </c>
      <c r="U36" s="22">
        <v>0</v>
      </c>
      <c r="V36" s="22">
        <v>18</v>
      </c>
      <c r="W36" s="22">
        <v>27</v>
      </c>
      <c r="X36" s="22">
        <v>33</v>
      </c>
      <c r="Y36" s="22">
        <v>34</v>
      </c>
      <c r="Z36" s="22">
        <v>36</v>
      </c>
      <c r="AA36" s="22">
        <v>36</v>
      </c>
      <c r="AB36" s="22">
        <v>33</v>
      </c>
      <c r="AC36" s="22">
        <v>28</v>
      </c>
      <c r="AD36" s="22">
        <v>23</v>
      </c>
      <c r="AE36" s="22">
        <v>18</v>
      </c>
      <c r="AF36" s="22">
        <v>8</v>
      </c>
      <c r="AG36" s="22">
        <v>1</v>
      </c>
      <c r="AH36" s="22">
        <v>1</v>
      </c>
      <c r="AI36" s="22">
        <v>1</v>
      </c>
      <c r="AJ36" s="22">
        <v>1</v>
      </c>
    </row>
    <row r="37" spans="1:36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G37" s="77" t="s">
        <v>57</v>
      </c>
      <c r="H37" t="s">
        <v>48</v>
      </c>
      <c r="J37" t="s">
        <v>50</v>
      </c>
      <c r="K37">
        <v>4</v>
      </c>
      <c r="L37" s="22">
        <v>7</v>
      </c>
      <c r="M37">
        <v>866.28105926513672</v>
      </c>
      <c r="N37">
        <v>1</v>
      </c>
      <c r="P37">
        <v>123.291015625</v>
      </c>
      <c r="Q37" s="22">
        <v>3</v>
      </c>
      <c r="S37" s="88">
        <v>3</v>
      </c>
      <c r="U37" s="22">
        <v>0</v>
      </c>
      <c r="V37" s="22">
        <v>0</v>
      </c>
      <c r="W37" s="22">
        <v>0</v>
      </c>
      <c r="X37" s="22">
        <v>3</v>
      </c>
      <c r="Y37" s="22">
        <v>4</v>
      </c>
      <c r="Z37" s="22">
        <v>6</v>
      </c>
      <c r="AA37" s="22">
        <v>7</v>
      </c>
      <c r="AB37" s="22">
        <v>6</v>
      </c>
      <c r="AC37" s="22">
        <v>6</v>
      </c>
      <c r="AD37" s="22">
        <v>6</v>
      </c>
      <c r="AE37" s="22">
        <v>6</v>
      </c>
      <c r="AF37" s="22">
        <v>6</v>
      </c>
      <c r="AG37" s="22">
        <v>2</v>
      </c>
      <c r="AH37" s="22">
        <v>2</v>
      </c>
      <c r="AI37" s="22">
        <v>1</v>
      </c>
      <c r="AJ37" s="22">
        <v>1</v>
      </c>
    </row>
    <row r="38" spans="1:36">
      <c r="A38" s="2">
        <v>46007</v>
      </c>
      <c r="B38" t="s">
        <v>90</v>
      </c>
      <c r="C38">
        <v>63549</v>
      </c>
      <c r="D38">
        <v>1557</v>
      </c>
      <c r="E38" t="s">
        <v>114</v>
      </c>
      <c r="F38" t="s">
        <v>65</v>
      </c>
      <c r="G38" s="77" t="s">
        <v>57</v>
      </c>
      <c r="H38" t="s">
        <v>48</v>
      </c>
      <c r="I38" t="s">
        <v>115</v>
      </c>
      <c r="J38" t="s">
        <v>50</v>
      </c>
      <c r="K38">
        <v>4</v>
      </c>
      <c r="L38" s="22">
        <v>18</v>
      </c>
      <c r="M38">
        <v>483.75857162475569</v>
      </c>
      <c r="N38">
        <v>17</v>
      </c>
      <c r="P38">
        <v>150.146484375</v>
      </c>
      <c r="Q38" s="22">
        <v>4</v>
      </c>
      <c r="S38" s="88">
        <v>4</v>
      </c>
      <c r="U38" s="22">
        <v>0</v>
      </c>
      <c r="V38" s="22">
        <v>0</v>
      </c>
      <c r="W38" s="22">
        <v>0</v>
      </c>
      <c r="X38" s="22">
        <v>4</v>
      </c>
      <c r="Y38" s="22">
        <v>5</v>
      </c>
      <c r="Z38" s="22">
        <v>9</v>
      </c>
      <c r="AA38" s="22">
        <v>12</v>
      </c>
      <c r="AB38" s="22">
        <v>16</v>
      </c>
      <c r="AC38" s="22">
        <v>17</v>
      </c>
      <c r="AD38" s="22">
        <v>18</v>
      </c>
      <c r="AE38" s="22">
        <v>17</v>
      </c>
      <c r="AF38" s="22">
        <v>15</v>
      </c>
      <c r="AG38" s="22">
        <v>18</v>
      </c>
      <c r="AH38" s="22">
        <v>14</v>
      </c>
      <c r="AI38" s="22">
        <v>6</v>
      </c>
      <c r="AJ38" s="22">
        <v>1</v>
      </c>
    </row>
    <row r="39" spans="1:36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G39" s="77" t="s">
        <v>57</v>
      </c>
      <c r="H39" t="s">
        <v>54</v>
      </c>
      <c r="J39" t="s">
        <v>50</v>
      </c>
      <c r="K39">
        <v>2</v>
      </c>
      <c r="L39" s="22">
        <v>26</v>
      </c>
      <c r="M39">
        <v>458.9554123878479</v>
      </c>
      <c r="N39">
        <v>2</v>
      </c>
      <c r="P39">
        <v>67.138671875</v>
      </c>
      <c r="Q39" s="22">
        <v>16</v>
      </c>
      <c r="S39" s="88">
        <v>3</v>
      </c>
      <c r="U39" s="22">
        <v>0</v>
      </c>
      <c r="V39" s="22">
        <v>3</v>
      </c>
      <c r="W39" s="22">
        <v>16</v>
      </c>
      <c r="X39" s="22">
        <v>21</v>
      </c>
      <c r="Y39" s="22">
        <v>24</v>
      </c>
      <c r="Z39" s="22">
        <v>26</v>
      </c>
      <c r="AA39" s="22">
        <v>24</v>
      </c>
      <c r="AB39" s="22">
        <v>19</v>
      </c>
      <c r="AC39" s="22">
        <v>16</v>
      </c>
      <c r="AD39" s="22">
        <v>2</v>
      </c>
      <c r="AE39" s="22">
        <v>2</v>
      </c>
      <c r="AF39" s="22">
        <v>2</v>
      </c>
      <c r="AG39" s="22">
        <v>1</v>
      </c>
      <c r="AH39" s="22">
        <v>1</v>
      </c>
      <c r="AI39" s="22">
        <v>1</v>
      </c>
      <c r="AJ39" s="22">
        <v>1</v>
      </c>
    </row>
    <row r="40" spans="1:36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G40" s="77" t="s">
        <v>57</v>
      </c>
      <c r="H40" t="s">
        <v>54</v>
      </c>
      <c r="J40" t="s">
        <v>50</v>
      </c>
      <c r="K40">
        <v>4</v>
      </c>
      <c r="L40" s="22">
        <v>31</v>
      </c>
      <c r="M40">
        <v>612.02007293701081</v>
      </c>
      <c r="N40">
        <v>27</v>
      </c>
      <c r="P40">
        <v>139.16015625</v>
      </c>
      <c r="Q40" s="22">
        <v>3</v>
      </c>
      <c r="S40" s="88">
        <v>3</v>
      </c>
      <c r="U40" s="22">
        <v>0</v>
      </c>
      <c r="V40" s="22">
        <v>0</v>
      </c>
      <c r="W40" s="22">
        <v>0</v>
      </c>
      <c r="X40" s="22">
        <v>3</v>
      </c>
      <c r="Y40" s="22">
        <v>12</v>
      </c>
      <c r="Z40" s="22">
        <v>19</v>
      </c>
      <c r="AA40" s="22">
        <v>23</v>
      </c>
      <c r="AB40" s="22">
        <v>27</v>
      </c>
      <c r="AC40" s="22">
        <v>29</v>
      </c>
      <c r="AD40" s="22">
        <v>30</v>
      </c>
      <c r="AE40" s="22">
        <v>31</v>
      </c>
      <c r="AF40" s="22">
        <v>25</v>
      </c>
      <c r="AG40" s="22">
        <v>27</v>
      </c>
      <c r="AH40" s="22">
        <v>26</v>
      </c>
      <c r="AI40" s="22">
        <v>17</v>
      </c>
      <c r="AJ40" s="22">
        <v>4</v>
      </c>
    </row>
    <row r="41" spans="1:36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G41" s="77" t="s">
        <v>57</v>
      </c>
      <c r="H41" t="s">
        <v>54</v>
      </c>
      <c r="I41" t="s">
        <v>119</v>
      </c>
      <c r="J41" t="s">
        <v>50</v>
      </c>
      <c r="K41">
        <v>4</v>
      </c>
      <c r="L41" s="22">
        <v>56</v>
      </c>
      <c r="M41">
        <v>455.61418151855429</v>
      </c>
      <c r="N41">
        <v>52</v>
      </c>
      <c r="P41">
        <v>132.4462890625</v>
      </c>
      <c r="Q41" s="22">
        <v>12</v>
      </c>
      <c r="S41" s="88">
        <v>12</v>
      </c>
      <c r="U41" s="22">
        <v>0</v>
      </c>
      <c r="V41" s="22">
        <v>0</v>
      </c>
      <c r="W41" s="22">
        <v>0</v>
      </c>
      <c r="X41" s="22">
        <v>12</v>
      </c>
      <c r="Y41" s="22">
        <v>25</v>
      </c>
      <c r="Z41" s="22">
        <v>32</v>
      </c>
      <c r="AA41" s="22">
        <v>37</v>
      </c>
      <c r="AB41" s="22">
        <v>40</v>
      </c>
      <c r="AC41" s="22">
        <v>44</v>
      </c>
      <c r="AD41" s="22">
        <v>47</v>
      </c>
      <c r="AE41" s="22">
        <v>52</v>
      </c>
      <c r="AF41" s="22">
        <v>56</v>
      </c>
      <c r="AG41" s="22">
        <v>56</v>
      </c>
      <c r="AH41" s="22">
        <v>11</v>
      </c>
      <c r="AI41" s="22">
        <v>7</v>
      </c>
      <c r="AJ41" s="22">
        <v>3</v>
      </c>
    </row>
    <row r="42" spans="1:36">
      <c r="A42" s="2">
        <v>46007</v>
      </c>
      <c r="B42" t="s">
        <v>90</v>
      </c>
      <c r="C42">
        <v>63546</v>
      </c>
      <c r="D42" s="58">
        <v>1561</v>
      </c>
      <c r="E42" t="s">
        <v>120</v>
      </c>
      <c r="F42" t="s">
        <v>65</v>
      </c>
      <c r="G42" s="82" t="s">
        <v>57</v>
      </c>
      <c r="H42" t="s">
        <v>54</v>
      </c>
      <c r="I42" t="s">
        <v>121</v>
      </c>
      <c r="J42" t="s">
        <v>50</v>
      </c>
      <c r="K42">
        <v>6</v>
      </c>
      <c r="L42" s="22">
        <v>5</v>
      </c>
      <c r="M42">
        <v>713.40341186523301</v>
      </c>
      <c r="N42">
        <v>4</v>
      </c>
      <c r="P42">
        <v>477.9052734375</v>
      </c>
      <c r="Q42" s="22">
        <v>4</v>
      </c>
      <c r="S42" s="88">
        <v>1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1</v>
      </c>
      <c r="AA42" s="22">
        <v>1</v>
      </c>
      <c r="AB42" s="22">
        <v>2</v>
      </c>
      <c r="AC42" s="22">
        <v>3</v>
      </c>
      <c r="AD42" s="22">
        <v>3</v>
      </c>
      <c r="AE42" s="22">
        <v>4</v>
      </c>
      <c r="AF42" s="22">
        <v>4</v>
      </c>
      <c r="AG42" s="22">
        <v>5</v>
      </c>
      <c r="AH42" s="22">
        <v>4</v>
      </c>
      <c r="AI42" s="22">
        <v>3</v>
      </c>
      <c r="AJ42" s="22">
        <v>5</v>
      </c>
    </row>
    <row r="43" spans="1:36">
      <c r="A43" s="2">
        <v>46008</v>
      </c>
      <c r="B43" t="s">
        <v>90</v>
      </c>
      <c r="C43">
        <v>63554</v>
      </c>
      <c r="D43" s="19">
        <v>1562</v>
      </c>
      <c r="E43" t="s">
        <v>91</v>
      </c>
      <c r="F43" t="s">
        <v>46</v>
      </c>
      <c r="G43" s="77" t="s">
        <v>57</v>
      </c>
      <c r="H43" t="s">
        <v>54</v>
      </c>
      <c r="J43" t="s">
        <v>50</v>
      </c>
      <c r="K43">
        <v>3</v>
      </c>
      <c r="L43" s="22">
        <v>3</v>
      </c>
      <c r="M43">
        <v>102.1488685607909</v>
      </c>
      <c r="N43">
        <v>3</v>
      </c>
      <c r="P43">
        <v>14.6484375</v>
      </c>
      <c r="Q43" s="22">
        <v>0</v>
      </c>
      <c r="S43" s="88">
        <v>1</v>
      </c>
      <c r="U43" s="22">
        <v>0</v>
      </c>
      <c r="V43" s="22">
        <v>0</v>
      </c>
      <c r="W43" s="22">
        <v>1</v>
      </c>
      <c r="X43" s="22">
        <v>3</v>
      </c>
      <c r="Y43" s="22">
        <v>2</v>
      </c>
      <c r="Z43" s="22">
        <v>2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</row>
    <row r="44" spans="1:36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G44" s="77" t="s">
        <v>57</v>
      </c>
      <c r="H44" t="s">
        <v>54</v>
      </c>
      <c r="I44" t="s">
        <v>123</v>
      </c>
      <c r="J44" t="s">
        <v>50</v>
      </c>
      <c r="K44">
        <v>4</v>
      </c>
      <c r="L44" s="22">
        <v>15</v>
      </c>
      <c r="M44">
        <v>657.295654296875</v>
      </c>
      <c r="N44">
        <v>9</v>
      </c>
      <c r="P44">
        <v>162.9638671875</v>
      </c>
      <c r="Q44" s="22">
        <v>13</v>
      </c>
      <c r="S44" s="88">
        <v>5</v>
      </c>
      <c r="U44" s="22">
        <v>0</v>
      </c>
      <c r="V44" s="22">
        <v>0</v>
      </c>
      <c r="W44" s="22">
        <v>0</v>
      </c>
      <c r="X44" s="22">
        <v>5</v>
      </c>
      <c r="Y44" s="22">
        <v>13</v>
      </c>
      <c r="Z44" s="22">
        <v>14</v>
      </c>
      <c r="AA44" s="22">
        <v>15</v>
      </c>
      <c r="AB44" s="22">
        <v>12</v>
      </c>
      <c r="AC44" s="22">
        <v>12</v>
      </c>
      <c r="AD44" s="22">
        <v>13</v>
      </c>
      <c r="AE44" s="22">
        <v>11</v>
      </c>
      <c r="AF44" s="22">
        <v>11</v>
      </c>
      <c r="AG44" s="22">
        <v>9</v>
      </c>
      <c r="AH44" s="22">
        <v>2</v>
      </c>
      <c r="AI44" s="22">
        <v>1</v>
      </c>
      <c r="AJ44" s="22">
        <v>1</v>
      </c>
    </row>
    <row r="45" spans="1:36">
      <c r="A45" s="2">
        <v>46008</v>
      </c>
      <c r="B45" t="s">
        <v>44</v>
      </c>
      <c r="C45">
        <v>63554</v>
      </c>
      <c r="D45">
        <v>1564</v>
      </c>
      <c r="E45" t="s">
        <v>124</v>
      </c>
      <c r="F45" t="s">
        <v>46</v>
      </c>
      <c r="G45" s="77" t="s">
        <v>57</v>
      </c>
      <c r="H45" t="s">
        <v>54</v>
      </c>
      <c r="I45" t="s">
        <v>125</v>
      </c>
      <c r="J45" t="s">
        <v>50</v>
      </c>
      <c r="K45">
        <v>6</v>
      </c>
      <c r="L45" s="22">
        <v>14</v>
      </c>
      <c r="M45">
        <v>707.69129180908101</v>
      </c>
      <c r="N45">
        <v>9</v>
      </c>
      <c r="P45">
        <v>186.1572265625</v>
      </c>
      <c r="Q45" s="22">
        <v>0</v>
      </c>
      <c r="S45" s="88">
        <v>2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2</v>
      </c>
      <c r="AA45" s="22">
        <v>10</v>
      </c>
      <c r="AB45" s="22">
        <v>13</v>
      </c>
      <c r="AC45" s="22">
        <v>14</v>
      </c>
      <c r="AD45" s="22">
        <v>10</v>
      </c>
      <c r="AE45" s="22">
        <v>9</v>
      </c>
      <c r="AF45" s="22">
        <v>11</v>
      </c>
      <c r="AG45" s="22">
        <v>9</v>
      </c>
      <c r="AH45" s="22">
        <v>9</v>
      </c>
      <c r="AI45" s="22">
        <v>5</v>
      </c>
      <c r="AJ45" s="22">
        <v>2</v>
      </c>
    </row>
    <row r="46" spans="1:36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G46" s="77" t="s">
        <v>57</v>
      </c>
      <c r="H46" t="s">
        <v>48</v>
      </c>
      <c r="I46" t="s">
        <v>127</v>
      </c>
      <c r="J46" t="s">
        <v>50</v>
      </c>
      <c r="K46">
        <v>4</v>
      </c>
      <c r="L46" s="22">
        <v>37</v>
      </c>
      <c r="M46">
        <v>732.61349940299988</v>
      </c>
      <c r="N46">
        <v>34</v>
      </c>
      <c r="P46">
        <v>134.8876953125</v>
      </c>
      <c r="Q46" s="22">
        <v>7</v>
      </c>
      <c r="S46" s="88">
        <v>7</v>
      </c>
      <c r="U46" s="22">
        <v>0</v>
      </c>
      <c r="V46" s="22">
        <v>0</v>
      </c>
      <c r="W46" s="22">
        <v>0</v>
      </c>
      <c r="X46" s="22">
        <v>7</v>
      </c>
      <c r="Y46" s="22">
        <v>12</v>
      </c>
      <c r="Z46" s="22">
        <v>17</v>
      </c>
      <c r="AA46" s="22">
        <v>22</v>
      </c>
      <c r="AB46" s="22">
        <v>25</v>
      </c>
      <c r="AC46" s="22">
        <v>27</v>
      </c>
      <c r="AD46" s="22">
        <v>29</v>
      </c>
      <c r="AE46" s="22">
        <v>30</v>
      </c>
      <c r="AF46" s="22">
        <v>33</v>
      </c>
      <c r="AG46" s="22">
        <v>37</v>
      </c>
      <c r="AH46" s="22">
        <v>34</v>
      </c>
      <c r="AI46" s="22">
        <v>27</v>
      </c>
      <c r="AJ46" s="22">
        <v>21</v>
      </c>
    </row>
    <row r="47" spans="1:36">
      <c r="A47" s="2">
        <v>46008</v>
      </c>
      <c r="B47" t="s">
        <v>90</v>
      </c>
      <c r="C47">
        <v>63555</v>
      </c>
      <c r="D47" s="19">
        <v>1566</v>
      </c>
      <c r="E47" t="s">
        <v>104</v>
      </c>
      <c r="F47" t="s">
        <v>46</v>
      </c>
      <c r="G47" s="77" t="s">
        <v>57</v>
      </c>
      <c r="H47" t="s">
        <v>48</v>
      </c>
      <c r="J47" t="s">
        <v>128</v>
      </c>
      <c r="K47">
        <v>5</v>
      </c>
      <c r="L47" s="22">
        <v>129</v>
      </c>
      <c r="M47">
        <v>435.38594055175702</v>
      </c>
      <c r="N47">
        <v>28</v>
      </c>
      <c r="P47" s="4"/>
      <c r="S47" s="88">
        <v>4</v>
      </c>
      <c r="U47" s="22">
        <v>0</v>
      </c>
      <c r="V47" s="22">
        <v>0</v>
      </c>
      <c r="W47" s="22">
        <v>0</v>
      </c>
      <c r="X47" s="22">
        <v>0</v>
      </c>
      <c r="Y47" s="22">
        <v>4</v>
      </c>
      <c r="Z47" s="22">
        <v>14</v>
      </c>
      <c r="AA47" s="22">
        <v>8</v>
      </c>
      <c r="AB47" s="22">
        <v>27</v>
      </c>
      <c r="AC47" s="22">
        <v>20</v>
      </c>
      <c r="AD47" s="22">
        <v>28</v>
      </c>
      <c r="AE47" s="22">
        <v>119</v>
      </c>
      <c r="AF47" s="22">
        <v>129</v>
      </c>
      <c r="AG47" s="22">
        <v>27</v>
      </c>
      <c r="AH47" s="22">
        <v>23</v>
      </c>
      <c r="AI47" s="22">
        <v>23</v>
      </c>
      <c r="AJ47" s="22">
        <v>21</v>
      </c>
    </row>
    <row r="48" spans="1:36">
      <c r="A48" s="2">
        <v>46008</v>
      </c>
      <c r="B48" t="s">
        <v>90</v>
      </c>
      <c r="C48">
        <v>63555</v>
      </c>
      <c r="D48">
        <v>1567</v>
      </c>
      <c r="E48" t="s">
        <v>110</v>
      </c>
      <c r="F48" t="s">
        <v>46</v>
      </c>
      <c r="G48" s="77" t="s">
        <v>57</v>
      </c>
      <c r="H48" t="s">
        <v>48</v>
      </c>
      <c r="J48" t="s">
        <v>50</v>
      </c>
      <c r="K48">
        <v>4</v>
      </c>
      <c r="L48" s="22">
        <v>11</v>
      </c>
      <c r="M48">
        <v>817.88485717773403</v>
      </c>
      <c r="N48">
        <v>3</v>
      </c>
      <c r="P48">
        <v>162.353515625</v>
      </c>
      <c r="Q48" s="22">
        <v>8</v>
      </c>
      <c r="S48" s="88">
        <v>3</v>
      </c>
      <c r="U48" s="22">
        <v>0</v>
      </c>
      <c r="V48" s="22">
        <v>0</v>
      </c>
      <c r="W48" s="22">
        <v>0</v>
      </c>
      <c r="X48" s="22">
        <v>3</v>
      </c>
      <c r="Y48" s="22">
        <v>8</v>
      </c>
      <c r="Z48" s="22">
        <v>11</v>
      </c>
      <c r="AA48" s="22">
        <v>11</v>
      </c>
      <c r="AB48" s="22">
        <v>8</v>
      </c>
      <c r="AC48" s="22">
        <v>5</v>
      </c>
      <c r="AD48" s="22">
        <v>5</v>
      </c>
      <c r="AE48" s="22">
        <v>3</v>
      </c>
      <c r="AF48" s="22">
        <v>4</v>
      </c>
      <c r="AG48" s="22">
        <v>3</v>
      </c>
      <c r="AH48" s="22">
        <v>3</v>
      </c>
      <c r="AI48" s="22">
        <v>3</v>
      </c>
      <c r="AJ48" s="22">
        <v>3</v>
      </c>
    </row>
    <row r="49" spans="1:36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G49" s="77" t="s">
        <v>47</v>
      </c>
      <c r="H49" t="s">
        <v>54</v>
      </c>
      <c r="J49" t="s">
        <v>50</v>
      </c>
      <c r="K49">
        <v>3</v>
      </c>
      <c r="L49" s="22">
        <v>32</v>
      </c>
      <c r="M49">
        <v>484.33816051483132</v>
      </c>
      <c r="N49">
        <v>25</v>
      </c>
      <c r="P49">
        <v>114.74609375</v>
      </c>
      <c r="Q49" s="22">
        <v>17</v>
      </c>
      <c r="S49" s="88">
        <v>9</v>
      </c>
      <c r="U49" s="22">
        <v>0</v>
      </c>
      <c r="V49" s="22">
        <v>0</v>
      </c>
      <c r="W49" s="22">
        <v>9</v>
      </c>
      <c r="X49" s="22">
        <v>17</v>
      </c>
      <c r="Y49" s="22">
        <v>21</v>
      </c>
      <c r="Z49" s="22">
        <v>22</v>
      </c>
      <c r="AA49" s="22">
        <v>23</v>
      </c>
      <c r="AB49" s="22">
        <v>24</v>
      </c>
      <c r="AC49" s="22">
        <v>25</v>
      </c>
      <c r="AD49" s="22">
        <v>25</v>
      </c>
      <c r="AE49" s="22">
        <v>25</v>
      </c>
      <c r="AF49" s="22">
        <v>27</v>
      </c>
      <c r="AG49" s="22">
        <v>27</v>
      </c>
      <c r="AH49" s="22">
        <v>29</v>
      </c>
      <c r="AI49" s="22">
        <v>31</v>
      </c>
      <c r="AJ49" s="22">
        <v>32</v>
      </c>
    </row>
    <row r="50" spans="1:36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G50" s="77" t="s">
        <v>47</v>
      </c>
      <c r="H50" t="s">
        <v>54</v>
      </c>
      <c r="J50" t="s">
        <v>50</v>
      </c>
      <c r="K50">
        <v>4</v>
      </c>
      <c r="L50" s="22">
        <v>38</v>
      </c>
      <c r="M50">
        <v>70.019731521606403</v>
      </c>
      <c r="N50">
        <v>0</v>
      </c>
      <c r="P50">
        <v>64.697265625</v>
      </c>
      <c r="Q50" s="22">
        <v>0</v>
      </c>
      <c r="S50" s="88">
        <v>4</v>
      </c>
      <c r="U50" s="22">
        <v>0</v>
      </c>
      <c r="V50" s="22">
        <v>0</v>
      </c>
      <c r="W50" s="22">
        <v>0</v>
      </c>
      <c r="X50" s="22">
        <v>4</v>
      </c>
      <c r="Y50" s="22">
        <v>11</v>
      </c>
      <c r="Z50" s="22">
        <v>15</v>
      </c>
      <c r="AA50" s="22">
        <v>17</v>
      </c>
      <c r="AB50" s="22">
        <v>20</v>
      </c>
      <c r="AC50" s="22">
        <v>22</v>
      </c>
      <c r="AD50" s="22">
        <v>23</v>
      </c>
      <c r="AE50" s="22">
        <v>25</v>
      </c>
      <c r="AF50" s="22">
        <v>28</v>
      </c>
      <c r="AG50" s="22">
        <v>31</v>
      </c>
      <c r="AH50" s="22">
        <v>33</v>
      </c>
      <c r="AI50" s="22">
        <v>36</v>
      </c>
      <c r="AJ50" s="22">
        <v>38</v>
      </c>
    </row>
    <row r="51" spans="1:36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G51" s="77" t="s">
        <v>47</v>
      </c>
      <c r="H51" t="s">
        <v>54</v>
      </c>
      <c r="I51" t="s">
        <v>130</v>
      </c>
      <c r="J51" t="s">
        <v>50</v>
      </c>
      <c r="K51">
        <v>5</v>
      </c>
      <c r="L51" s="22">
        <v>65</v>
      </c>
      <c r="M51">
        <v>403.80626296996991</v>
      </c>
      <c r="N51">
        <v>38</v>
      </c>
      <c r="P51">
        <v>123.291015625</v>
      </c>
      <c r="Q51" s="22">
        <v>0</v>
      </c>
      <c r="S51" s="88">
        <v>14</v>
      </c>
      <c r="U51" s="22">
        <v>0</v>
      </c>
      <c r="V51" s="22">
        <v>0</v>
      </c>
      <c r="W51" s="22">
        <v>0</v>
      </c>
      <c r="X51" s="22">
        <v>0</v>
      </c>
      <c r="Y51" s="22">
        <v>14</v>
      </c>
      <c r="Z51" s="22">
        <v>24</v>
      </c>
      <c r="AA51" s="22">
        <v>30</v>
      </c>
      <c r="AB51" s="22">
        <v>34</v>
      </c>
      <c r="AC51" s="22">
        <v>36</v>
      </c>
      <c r="AD51" s="22">
        <v>38</v>
      </c>
      <c r="AE51" s="22">
        <v>40</v>
      </c>
      <c r="AF51" s="22">
        <v>43</v>
      </c>
      <c r="AG51" s="22">
        <v>48</v>
      </c>
      <c r="AH51" s="22">
        <v>55</v>
      </c>
      <c r="AI51" s="22">
        <v>65</v>
      </c>
      <c r="AJ51" s="22">
        <v>62</v>
      </c>
    </row>
    <row r="52" spans="1:36">
      <c r="A52" s="2">
        <v>46009</v>
      </c>
      <c r="B52" t="s">
        <v>44</v>
      </c>
      <c r="C52">
        <v>63556</v>
      </c>
      <c r="D52" s="58">
        <v>1571</v>
      </c>
      <c r="E52" t="s">
        <v>120</v>
      </c>
      <c r="F52" t="s">
        <v>46</v>
      </c>
      <c r="G52" s="82" t="s">
        <v>47</v>
      </c>
      <c r="H52" t="s">
        <v>54</v>
      </c>
      <c r="J52" t="s">
        <v>128</v>
      </c>
      <c r="K52">
        <v>2</v>
      </c>
      <c r="L52" s="22">
        <v>14</v>
      </c>
      <c r="M52">
        <v>126.7633438110346</v>
      </c>
      <c r="N52">
        <v>11</v>
      </c>
      <c r="P52">
        <v>48.2177734375</v>
      </c>
      <c r="Q52" s="22">
        <v>2</v>
      </c>
      <c r="S52" s="88">
        <v>2</v>
      </c>
      <c r="U52" s="22">
        <v>0</v>
      </c>
      <c r="V52" s="22">
        <v>2</v>
      </c>
      <c r="W52" s="22">
        <v>9</v>
      </c>
      <c r="X52" s="22">
        <v>11</v>
      </c>
      <c r="Y52" s="22">
        <v>14</v>
      </c>
      <c r="Z52" s="22">
        <v>13</v>
      </c>
      <c r="AA52" s="22">
        <v>4</v>
      </c>
      <c r="AB52" s="22">
        <v>1</v>
      </c>
      <c r="AC52" s="22">
        <v>1</v>
      </c>
      <c r="AD52" s="22">
        <v>1</v>
      </c>
      <c r="AE52" s="22">
        <v>1</v>
      </c>
      <c r="AF52" s="22">
        <v>1</v>
      </c>
      <c r="AG52" s="22">
        <v>1</v>
      </c>
      <c r="AH52" s="22">
        <v>1</v>
      </c>
      <c r="AI52" s="22">
        <v>1</v>
      </c>
      <c r="AJ52" s="22">
        <v>1</v>
      </c>
    </row>
    <row r="53" spans="1:36">
      <c r="A53" s="2">
        <v>46009</v>
      </c>
      <c r="B53" t="s">
        <v>44</v>
      </c>
      <c r="C53">
        <v>63557</v>
      </c>
      <c r="D53">
        <v>1572</v>
      </c>
      <c r="E53" t="s">
        <v>131</v>
      </c>
      <c r="F53" t="s">
        <v>46</v>
      </c>
      <c r="G53" s="77" t="s">
        <v>47</v>
      </c>
      <c r="H53" t="s">
        <v>48</v>
      </c>
      <c r="I53" t="s">
        <v>132</v>
      </c>
      <c r="J53" t="s">
        <v>50</v>
      </c>
      <c r="K53">
        <v>6</v>
      </c>
      <c r="L53" s="22">
        <v>20</v>
      </c>
      <c r="M53">
        <v>581.35266113281205</v>
      </c>
      <c r="N53">
        <v>20</v>
      </c>
      <c r="P53">
        <v>226.4404296875</v>
      </c>
      <c r="Q53" s="22">
        <v>2</v>
      </c>
      <c r="S53" s="88">
        <v>2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2</v>
      </c>
      <c r="AA53" s="22">
        <v>5</v>
      </c>
      <c r="AB53" s="22">
        <v>9</v>
      </c>
      <c r="AC53" s="22">
        <v>13</v>
      </c>
      <c r="AD53" s="22">
        <v>15</v>
      </c>
      <c r="AE53" s="22">
        <v>16</v>
      </c>
      <c r="AF53" s="22">
        <v>20</v>
      </c>
      <c r="AG53" s="22">
        <v>19</v>
      </c>
      <c r="AH53" s="22">
        <v>18</v>
      </c>
      <c r="AI53" s="22">
        <v>17</v>
      </c>
      <c r="AJ53" s="22">
        <v>13</v>
      </c>
    </row>
    <row r="54" spans="1:36">
      <c r="A54" s="2">
        <v>46010</v>
      </c>
      <c r="B54" t="s">
        <v>69</v>
      </c>
      <c r="C54">
        <v>63547</v>
      </c>
      <c r="D54">
        <v>1573</v>
      </c>
      <c r="E54" t="s">
        <v>133</v>
      </c>
      <c r="F54" t="s">
        <v>65</v>
      </c>
      <c r="G54" s="77" t="s">
        <v>47</v>
      </c>
      <c r="H54" t="s">
        <v>48</v>
      </c>
      <c r="I54" t="s">
        <v>134</v>
      </c>
      <c r="J54" t="s">
        <v>50</v>
      </c>
      <c r="K54">
        <v>5</v>
      </c>
      <c r="L54" s="22">
        <v>2</v>
      </c>
      <c r="M54">
        <v>637.28226089477528</v>
      </c>
      <c r="N54">
        <v>1</v>
      </c>
      <c r="P54">
        <v>170.2880859375</v>
      </c>
      <c r="Q54" s="22">
        <v>1</v>
      </c>
      <c r="S54" s="88">
        <v>1</v>
      </c>
      <c r="U54" s="22">
        <v>0</v>
      </c>
      <c r="V54" s="22">
        <v>0</v>
      </c>
      <c r="W54" s="22">
        <v>0</v>
      </c>
      <c r="X54" s="22">
        <v>0</v>
      </c>
      <c r="Y54" s="22">
        <v>1</v>
      </c>
      <c r="Z54" s="22">
        <v>2</v>
      </c>
      <c r="AA54" s="22">
        <v>1</v>
      </c>
      <c r="AB54" s="22">
        <v>2</v>
      </c>
      <c r="AC54" s="22">
        <v>2</v>
      </c>
      <c r="AD54" s="22">
        <v>2</v>
      </c>
      <c r="AE54" s="22">
        <v>1</v>
      </c>
      <c r="AF54" s="22">
        <v>1</v>
      </c>
      <c r="AG54" s="22">
        <v>1</v>
      </c>
      <c r="AH54" s="22">
        <v>1</v>
      </c>
      <c r="AI54" s="22">
        <v>1</v>
      </c>
      <c r="AJ54" s="22">
        <v>1</v>
      </c>
    </row>
    <row r="55" spans="1:36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G55" s="77" t="s">
        <v>47</v>
      </c>
      <c r="H55" t="s">
        <v>54</v>
      </c>
      <c r="I55" t="s">
        <v>135</v>
      </c>
      <c r="J55" t="s">
        <v>50</v>
      </c>
      <c r="K55">
        <v>5</v>
      </c>
      <c r="L55" s="22">
        <v>23</v>
      </c>
      <c r="M55">
        <v>713.80473136901787</v>
      </c>
      <c r="N55">
        <v>19</v>
      </c>
      <c r="P55">
        <v>175.78125</v>
      </c>
      <c r="Q55" s="22">
        <v>6</v>
      </c>
      <c r="S55" s="88">
        <v>6</v>
      </c>
      <c r="U55" s="22">
        <v>0</v>
      </c>
      <c r="V55" s="22">
        <v>0</v>
      </c>
      <c r="W55" s="22">
        <v>0</v>
      </c>
      <c r="X55" s="22">
        <v>0</v>
      </c>
      <c r="Y55" s="22">
        <v>6</v>
      </c>
      <c r="Z55" s="22">
        <v>10</v>
      </c>
      <c r="AA55" s="22">
        <v>13</v>
      </c>
      <c r="AB55" s="22">
        <v>16</v>
      </c>
      <c r="AC55" s="22">
        <v>17</v>
      </c>
      <c r="AD55" s="22">
        <v>20</v>
      </c>
      <c r="AE55" s="22">
        <v>21</v>
      </c>
      <c r="AF55" s="22">
        <v>23</v>
      </c>
      <c r="AG55" s="22">
        <v>18</v>
      </c>
      <c r="AH55" s="22">
        <v>19</v>
      </c>
      <c r="AI55" s="22">
        <v>18</v>
      </c>
      <c r="AJ55" s="22">
        <v>16</v>
      </c>
    </row>
    <row r="56" spans="1:36">
      <c r="A56" s="2">
        <v>46010</v>
      </c>
      <c r="B56" t="s">
        <v>90</v>
      </c>
      <c r="C56">
        <v>63548</v>
      </c>
      <c r="D56" s="58">
        <v>1575</v>
      </c>
      <c r="E56" t="s">
        <v>87</v>
      </c>
      <c r="F56" t="s">
        <v>65</v>
      </c>
      <c r="G56" s="82" t="s">
        <v>47</v>
      </c>
      <c r="H56" t="s">
        <v>54</v>
      </c>
      <c r="I56" t="s">
        <v>136</v>
      </c>
      <c r="J56" t="s">
        <v>50</v>
      </c>
      <c r="K56">
        <v>7</v>
      </c>
      <c r="L56" s="22">
        <v>12</v>
      </c>
      <c r="M56">
        <v>898.56412124633709</v>
      </c>
      <c r="N56">
        <v>11</v>
      </c>
      <c r="P56">
        <v>230.712890625</v>
      </c>
      <c r="Q56" s="22">
        <v>0</v>
      </c>
      <c r="S56" s="88">
        <v>2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2</v>
      </c>
      <c r="AB56" s="22">
        <v>4</v>
      </c>
      <c r="AC56" s="22">
        <v>7</v>
      </c>
      <c r="AD56" s="22">
        <v>7</v>
      </c>
      <c r="AE56" s="22">
        <v>10</v>
      </c>
      <c r="AF56" s="22">
        <v>9</v>
      </c>
      <c r="AG56" s="22">
        <v>12</v>
      </c>
      <c r="AH56" s="22">
        <v>11</v>
      </c>
      <c r="AI56" s="22">
        <v>11</v>
      </c>
      <c r="AJ56" s="22">
        <v>10</v>
      </c>
    </row>
    <row r="57" spans="1:36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G57" s="77" t="s">
        <v>47</v>
      </c>
      <c r="H57" t="s">
        <v>54</v>
      </c>
      <c r="I57" t="s">
        <v>138</v>
      </c>
      <c r="J57" t="s">
        <v>50</v>
      </c>
      <c r="K57">
        <v>3</v>
      </c>
      <c r="L57" s="22">
        <v>40</v>
      </c>
      <c r="M57">
        <v>484.17113876342739</v>
      </c>
      <c r="N57">
        <v>1</v>
      </c>
      <c r="P57">
        <v>66.5283203125</v>
      </c>
      <c r="Q57" s="22">
        <v>14</v>
      </c>
      <c r="S57" s="88">
        <v>14</v>
      </c>
      <c r="U57" s="22">
        <v>0</v>
      </c>
      <c r="V57" s="22">
        <v>0</v>
      </c>
      <c r="W57" s="22">
        <v>14</v>
      </c>
      <c r="X57" s="22">
        <v>22</v>
      </c>
      <c r="Y57" s="22">
        <v>28</v>
      </c>
      <c r="Z57" s="22">
        <v>32</v>
      </c>
      <c r="AA57" s="22">
        <v>35</v>
      </c>
      <c r="AB57" s="22">
        <v>38</v>
      </c>
      <c r="AC57" s="22">
        <v>40</v>
      </c>
      <c r="AD57" s="22">
        <v>38</v>
      </c>
      <c r="AE57" s="22">
        <v>34</v>
      </c>
      <c r="AF57" s="22">
        <v>1</v>
      </c>
      <c r="AG57" s="22">
        <v>1</v>
      </c>
      <c r="AH57" s="22">
        <v>1</v>
      </c>
      <c r="AI57" s="22">
        <v>1</v>
      </c>
      <c r="AJ57" s="22">
        <v>1</v>
      </c>
    </row>
    <row r="58" spans="1:36">
      <c r="A58" s="2">
        <v>46010</v>
      </c>
      <c r="B58" t="s">
        <v>90</v>
      </c>
      <c r="C58">
        <v>63548</v>
      </c>
      <c r="D58">
        <v>1577</v>
      </c>
      <c r="E58" t="s">
        <v>110</v>
      </c>
      <c r="F58" t="s">
        <v>65</v>
      </c>
      <c r="G58" t="s">
        <v>47</v>
      </c>
      <c r="H58" t="s">
        <v>54</v>
      </c>
      <c r="I58" t="s">
        <v>139</v>
      </c>
      <c r="J58" t="s">
        <v>50</v>
      </c>
      <c r="K58">
        <v>3</v>
      </c>
      <c r="L58" s="22">
        <v>70</v>
      </c>
      <c r="M58">
        <v>436.33667564392027</v>
      </c>
      <c r="N58">
        <v>53</v>
      </c>
      <c r="P58">
        <v>95.21484375</v>
      </c>
      <c r="Q58" s="22">
        <v>4</v>
      </c>
      <c r="S58" s="88">
        <v>4</v>
      </c>
      <c r="U58" s="22">
        <v>0</v>
      </c>
      <c r="V58" s="22">
        <v>0</v>
      </c>
      <c r="W58" s="22">
        <v>4</v>
      </c>
      <c r="X58" s="22">
        <v>15</v>
      </c>
      <c r="Y58" s="22">
        <v>26</v>
      </c>
      <c r="Z58" s="22">
        <v>32</v>
      </c>
      <c r="AA58" s="22">
        <v>39</v>
      </c>
      <c r="AB58" s="22">
        <v>43</v>
      </c>
      <c r="AC58" s="22">
        <v>46</v>
      </c>
      <c r="AD58" s="22">
        <v>49</v>
      </c>
      <c r="AE58" s="22">
        <v>53</v>
      </c>
      <c r="AF58" s="22">
        <v>60</v>
      </c>
      <c r="AG58" s="22">
        <v>70</v>
      </c>
      <c r="AH58" s="22">
        <v>61</v>
      </c>
      <c r="AI58" s="22">
        <v>60</v>
      </c>
      <c r="AJ58" s="22">
        <v>52</v>
      </c>
    </row>
    <row r="59" spans="1:36">
      <c r="A59" s="2">
        <v>46028</v>
      </c>
      <c r="B59" t="s">
        <v>44</v>
      </c>
      <c r="C59">
        <v>64063</v>
      </c>
      <c r="D59">
        <v>1578</v>
      </c>
      <c r="E59" t="s">
        <v>140</v>
      </c>
      <c r="F59" t="s">
        <v>46</v>
      </c>
      <c r="G59" t="s">
        <v>47</v>
      </c>
      <c r="H59" t="s">
        <v>48</v>
      </c>
      <c r="I59" t="s">
        <v>141</v>
      </c>
      <c r="J59" t="s">
        <v>50</v>
      </c>
      <c r="L59" s="78">
        <v>13</v>
      </c>
      <c r="M59">
        <v>454.77466394999999</v>
      </c>
      <c r="P59">
        <v>107.421875</v>
      </c>
      <c r="Q59" s="78">
        <v>3</v>
      </c>
      <c r="S59" s="88">
        <v>3</v>
      </c>
      <c r="U59" s="78">
        <v>0</v>
      </c>
      <c r="V59" s="78">
        <v>0</v>
      </c>
      <c r="W59" s="78">
        <v>0</v>
      </c>
      <c r="X59" s="78">
        <v>3</v>
      </c>
      <c r="Y59" s="78">
        <v>6</v>
      </c>
      <c r="Z59" s="78">
        <v>7</v>
      </c>
      <c r="AA59" s="78">
        <v>7</v>
      </c>
      <c r="AB59" s="78">
        <v>10</v>
      </c>
      <c r="AC59" s="78">
        <v>13</v>
      </c>
      <c r="AD59" s="78">
        <v>9</v>
      </c>
      <c r="AE59" s="78">
        <v>8</v>
      </c>
      <c r="AF59" s="78">
        <v>9</v>
      </c>
      <c r="AG59" s="78">
        <v>8</v>
      </c>
      <c r="AH59" s="78">
        <v>7</v>
      </c>
      <c r="AI59" s="78">
        <v>6</v>
      </c>
      <c r="AJ59" s="78">
        <v>2</v>
      </c>
    </row>
    <row r="60" spans="1:36">
      <c r="A60" s="2">
        <v>46028</v>
      </c>
      <c r="B60" t="s">
        <v>44</v>
      </c>
      <c r="C60">
        <v>64063</v>
      </c>
      <c r="D60">
        <v>1579</v>
      </c>
      <c r="E60" t="s">
        <v>142</v>
      </c>
      <c r="F60" t="s">
        <v>46</v>
      </c>
      <c r="G60" t="s">
        <v>47</v>
      </c>
      <c r="H60" t="s">
        <v>48</v>
      </c>
      <c r="I60" t="s">
        <v>143</v>
      </c>
      <c r="J60" t="s">
        <v>50</v>
      </c>
      <c r="L60" s="78">
        <v>28</v>
      </c>
      <c r="M60">
        <v>783.39534569</v>
      </c>
      <c r="P60">
        <v>173.33984375</v>
      </c>
      <c r="Q60" s="78">
        <v>10</v>
      </c>
      <c r="S60" s="88">
        <v>3</v>
      </c>
      <c r="U60" s="78">
        <v>0</v>
      </c>
      <c r="V60" s="78">
        <v>0</v>
      </c>
      <c r="W60" s="78">
        <v>0</v>
      </c>
      <c r="X60" s="78">
        <v>3</v>
      </c>
      <c r="Y60" s="78">
        <v>10</v>
      </c>
      <c r="Z60" s="78">
        <v>15</v>
      </c>
      <c r="AA60" s="78">
        <v>19</v>
      </c>
      <c r="AB60" s="78">
        <v>20</v>
      </c>
      <c r="AC60" s="78">
        <v>22</v>
      </c>
      <c r="AD60" s="78">
        <v>24</v>
      </c>
      <c r="AE60" s="78">
        <v>25</v>
      </c>
      <c r="AF60" s="78">
        <v>27</v>
      </c>
      <c r="AG60" s="78">
        <v>28</v>
      </c>
      <c r="AH60" s="78">
        <v>24</v>
      </c>
      <c r="AI60" s="78">
        <v>24</v>
      </c>
      <c r="AJ60" s="78">
        <v>21</v>
      </c>
    </row>
    <row r="61" spans="1:36">
      <c r="A61" s="2">
        <v>46028</v>
      </c>
      <c r="B61" t="s">
        <v>44</v>
      </c>
      <c r="C61">
        <v>64064</v>
      </c>
      <c r="D61">
        <v>1580</v>
      </c>
      <c r="E61" t="s">
        <v>144</v>
      </c>
      <c r="F61" t="s">
        <v>46</v>
      </c>
      <c r="G61" t="s">
        <v>47</v>
      </c>
      <c r="H61" t="s">
        <v>54</v>
      </c>
      <c r="J61" t="s">
        <v>50</v>
      </c>
      <c r="L61" s="78">
        <v>27</v>
      </c>
      <c r="M61">
        <v>555.95473862999995</v>
      </c>
      <c r="P61">
        <v>106.201171875</v>
      </c>
      <c r="Q61" s="78">
        <v>11</v>
      </c>
      <c r="S61" s="88">
        <v>11</v>
      </c>
      <c r="U61" s="78">
        <v>0</v>
      </c>
      <c r="V61" s="78">
        <v>0</v>
      </c>
      <c r="W61" s="78">
        <v>0</v>
      </c>
      <c r="X61" s="78">
        <v>11</v>
      </c>
      <c r="Y61" s="78">
        <v>22</v>
      </c>
      <c r="Z61" s="78">
        <v>26</v>
      </c>
      <c r="AA61" s="78">
        <v>27</v>
      </c>
      <c r="AB61" s="78">
        <v>26</v>
      </c>
      <c r="AC61" s="78">
        <v>25</v>
      </c>
      <c r="AD61" s="78">
        <v>23</v>
      </c>
      <c r="AE61" s="78">
        <v>20</v>
      </c>
      <c r="AF61" s="78">
        <v>14</v>
      </c>
      <c r="AG61" s="78">
        <v>13</v>
      </c>
      <c r="AH61" s="78">
        <v>11</v>
      </c>
      <c r="AI61" s="78">
        <v>8</v>
      </c>
      <c r="AJ61" s="78">
        <v>5</v>
      </c>
    </row>
    <row r="62" spans="1:36">
      <c r="A62" s="2">
        <v>46028</v>
      </c>
      <c r="B62" t="s">
        <v>44</v>
      </c>
      <c r="C62">
        <v>64064</v>
      </c>
      <c r="D62">
        <v>1581</v>
      </c>
      <c r="E62" t="s">
        <v>145</v>
      </c>
      <c r="F62" t="s">
        <v>46</v>
      </c>
      <c r="G62" t="s">
        <v>47</v>
      </c>
      <c r="H62" t="s">
        <v>54</v>
      </c>
      <c r="J62" t="s">
        <v>50</v>
      </c>
      <c r="L62" s="78">
        <v>25</v>
      </c>
      <c r="M62">
        <v>403.88375468999999</v>
      </c>
      <c r="P62">
        <v>95.21484375</v>
      </c>
      <c r="Q62" s="78">
        <v>12</v>
      </c>
      <c r="S62" s="88">
        <v>12</v>
      </c>
      <c r="U62" s="78">
        <v>0</v>
      </c>
      <c r="V62" s="78">
        <v>0</v>
      </c>
      <c r="W62" s="78">
        <v>12</v>
      </c>
      <c r="X62" s="78">
        <v>22</v>
      </c>
      <c r="Y62" s="78">
        <v>25</v>
      </c>
      <c r="Z62" s="78">
        <v>21</v>
      </c>
      <c r="AA62" s="78">
        <v>15</v>
      </c>
      <c r="AB62" s="78">
        <v>10</v>
      </c>
      <c r="AC62" s="78">
        <v>7</v>
      </c>
      <c r="AD62" s="78">
        <v>6</v>
      </c>
      <c r="AE62" s="78">
        <v>3</v>
      </c>
      <c r="AF62" s="78">
        <v>1</v>
      </c>
      <c r="AG62" s="78">
        <v>1</v>
      </c>
      <c r="AH62" s="78">
        <v>1</v>
      </c>
      <c r="AI62" s="78">
        <v>1</v>
      </c>
      <c r="AJ62" s="78">
        <v>1</v>
      </c>
    </row>
    <row r="63" spans="1:36">
      <c r="A63" s="2">
        <v>46028</v>
      </c>
      <c r="B63" t="s">
        <v>90</v>
      </c>
      <c r="C63">
        <v>64064</v>
      </c>
      <c r="D63" s="19">
        <v>1582</v>
      </c>
      <c r="E63" t="s">
        <v>102</v>
      </c>
      <c r="F63" t="s">
        <v>46</v>
      </c>
      <c r="G63" t="s">
        <v>47</v>
      </c>
      <c r="H63" t="s">
        <v>54</v>
      </c>
      <c r="J63" t="s">
        <v>50</v>
      </c>
      <c r="L63" s="89" t="s">
        <v>59</v>
      </c>
      <c r="M63">
        <v>1899.0705261999999</v>
      </c>
      <c r="P63" s="4"/>
      <c r="Q63" s="78" t="s">
        <v>59</v>
      </c>
      <c r="S63" s="89" t="s">
        <v>59</v>
      </c>
      <c r="U63" s="78" t="s">
        <v>59</v>
      </c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</row>
    <row r="64" spans="1:36">
      <c r="A64" s="2">
        <v>46030</v>
      </c>
      <c r="B64" t="s">
        <v>44</v>
      </c>
      <c r="C64">
        <v>64055</v>
      </c>
      <c r="D64">
        <v>1583</v>
      </c>
      <c r="E64" t="s">
        <v>99</v>
      </c>
      <c r="F64" t="s">
        <v>65</v>
      </c>
      <c r="G64" t="s">
        <v>47</v>
      </c>
      <c r="H64" t="s">
        <v>48</v>
      </c>
      <c r="I64" t="s">
        <v>147</v>
      </c>
      <c r="J64" t="s">
        <v>50</v>
      </c>
      <c r="L64" s="78">
        <v>23</v>
      </c>
      <c r="M64">
        <v>454.79089074000001</v>
      </c>
      <c r="P64">
        <v>85.44921875</v>
      </c>
      <c r="Q64" s="78">
        <v>11</v>
      </c>
      <c r="S64" s="88">
        <v>3</v>
      </c>
      <c r="U64" s="78">
        <v>0</v>
      </c>
      <c r="V64" s="78">
        <v>3</v>
      </c>
      <c r="W64" s="78">
        <v>11</v>
      </c>
      <c r="X64" s="78">
        <v>21</v>
      </c>
      <c r="Y64" s="78">
        <v>20</v>
      </c>
      <c r="Z64" s="78">
        <v>23</v>
      </c>
      <c r="AA64" s="78">
        <v>15</v>
      </c>
      <c r="AB64" s="78">
        <v>4</v>
      </c>
      <c r="AC64" s="78">
        <v>2</v>
      </c>
      <c r="AD64" s="78">
        <v>2</v>
      </c>
      <c r="AE64" s="78">
        <v>2</v>
      </c>
      <c r="AF64" s="78">
        <v>2</v>
      </c>
      <c r="AG64" s="78">
        <v>1</v>
      </c>
      <c r="AH64" s="78">
        <v>1</v>
      </c>
      <c r="AI64" s="78">
        <v>1</v>
      </c>
      <c r="AJ64" s="78">
        <v>1</v>
      </c>
    </row>
    <row r="65" spans="1:36">
      <c r="A65" s="2">
        <v>46030</v>
      </c>
      <c r="B65" t="s">
        <v>44</v>
      </c>
      <c r="C65">
        <v>64056</v>
      </c>
      <c r="D65">
        <v>1584</v>
      </c>
      <c r="E65" t="s">
        <v>148</v>
      </c>
      <c r="F65" t="s">
        <v>65</v>
      </c>
      <c r="G65" t="s">
        <v>47</v>
      </c>
      <c r="H65" t="s">
        <v>54</v>
      </c>
      <c r="J65" t="s">
        <v>50</v>
      </c>
      <c r="L65" s="89" t="s">
        <v>59</v>
      </c>
      <c r="M65">
        <v>935.03535460000001</v>
      </c>
      <c r="P65">
        <v>284.423828125</v>
      </c>
      <c r="Q65" s="78" t="s">
        <v>59</v>
      </c>
      <c r="S65" s="89" t="s">
        <v>59</v>
      </c>
      <c r="U65" s="78" t="s">
        <v>59</v>
      </c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</row>
    <row r="66" spans="1:36">
      <c r="A66" s="2">
        <v>46030</v>
      </c>
      <c r="B66" t="s">
        <v>69</v>
      </c>
      <c r="C66">
        <v>64056</v>
      </c>
      <c r="D66">
        <v>1585</v>
      </c>
      <c r="E66" t="s">
        <v>149</v>
      </c>
      <c r="F66" t="s">
        <v>65</v>
      </c>
      <c r="G66" t="s">
        <v>47</v>
      </c>
      <c r="H66" t="s">
        <v>54</v>
      </c>
      <c r="J66" t="s">
        <v>50</v>
      </c>
      <c r="L66" s="78">
        <v>18</v>
      </c>
      <c r="M66">
        <v>382.55331803000001</v>
      </c>
      <c r="P66">
        <v>59.2041015625</v>
      </c>
      <c r="Q66" s="78">
        <v>14</v>
      </c>
      <c r="S66" s="88">
        <v>8</v>
      </c>
      <c r="U66" s="78">
        <v>0</v>
      </c>
      <c r="V66" s="78">
        <v>8</v>
      </c>
      <c r="W66" s="78">
        <v>14</v>
      </c>
      <c r="X66" s="78">
        <v>18</v>
      </c>
      <c r="Y66" s="78">
        <v>13</v>
      </c>
      <c r="Z66" s="78">
        <v>9</v>
      </c>
      <c r="AA66" s="78">
        <v>2</v>
      </c>
      <c r="AB66" s="78">
        <v>1</v>
      </c>
      <c r="AC66" s="78">
        <v>1</v>
      </c>
      <c r="AD66" s="78">
        <v>1</v>
      </c>
      <c r="AE66" s="78">
        <v>1</v>
      </c>
      <c r="AF66" s="78">
        <v>1</v>
      </c>
      <c r="AG66" s="78">
        <v>1</v>
      </c>
      <c r="AH66" s="78">
        <v>1</v>
      </c>
      <c r="AI66" s="78">
        <v>1</v>
      </c>
      <c r="AJ66" s="78">
        <v>1</v>
      </c>
    </row>
    <row r="67" spans="1:36">
      <c r="A67" s="2">
        <v>46030</v>
      </c>
      <c r="B67" t="s">
        <v>90</v>
      </c>
      <c r="C67">
        <v>64056</v>
      </c>
      <c r="D67">
        <v>1586</v>
      </c>
      <c r="E67" t="s">
        <v>149</v>
      </c>
      <c r="F67" t="s">
        <v>65</v>
      </c>
      <c r="G67" t="s">
        <v>47</v>
      </c>
      <c r="H67" t="s">
        <v>54</v>
      </c>
      <c r="J67" t="s">
        <v>50</v>
      </c>
      <c r="L67" s="78">
        <v>23</v>
      </c>
      <c r="M67">
        <v>257.30477523000002</v>
      </c>
      <c r="P67">
        <v>81.787109375</v>
      </c>
      <c r="Q67" s="78">
        <v>6</v>
      </c>
      <c r="S67" s="88">
        <v>6</v>
      </c>
      <c r="U67" s="78">
        <v>0</v>
      </c>
      <c r="V67" s="78">
        <v>0</v>
      </c>
      <c r="W67" s="78">
        <v>6</v>
      </c>
      <c r="X67" s="78">
        <v>13</v>
      </c>
      <c r="Y67" s="78">
        <v>19</v>
      </c>
      <c r="Z67" s="78">
        <v>19</v>
      </c>
      <c r="AA67" s="78">
        <v>23</v>
      </c>
      <c r="AB67" s="78">
        <v>1</v>
      </c>
      <c r="AC67" s="78">
        <v>0</v>
      </c>
      <c r="AD67" s="78">
        <v>0</v>
      </c>
      <c r="AE67" s="78">
        <v>0</v>
      </c>
      <c r="AF67" s="78">
        <v>0</v>
      </c>
      <c r="AG67" s="78">
        <v>0</v>
      </c>
      <c r="AH67" s="78">
        <v>0</v>
      </c>
      <c r="AI67" s="78">
        <v>0</v>
      </c>
      <c r="AJ67" s="78">
        <v>0</v>
      </c>
    </row>
    <row r="68" spans="1:36">
      <c r="A68" s="2">
        <v>46030</v>
      </c>
      <c r="B68" t="s">
        <v>90</v>
      </c>
      <c r="C68">
        <v>64056</v>
      </c>
      <c r="D68">
        <v>1587</v>
      </c>
      <c r="E68" t="s">
        <v>150</v>
      </c>
      <c r="F68" t="s">
        <v>65</v>
      </c>
      <c r="G68" t="s">
        <v>47</v>
      </c>
      <c r="H68" t="s">
        <v>54</v>
      </c>
      <c r="I68" t="s">
        <v>151</v>
      </c>
      <c r="J68" t="s">
        <v>50</v>
      </c>
      <c r="L68" t="s">
        <v>152</v>
      </c>
      <c r="M68">
        <v>231.56801657900002</v>
      </c>
      <c r="P68">
        <v>32.958984375</v>
      </c>
      <c r="Q68" s="78">
        <v>0</v>
      </c>
      <c r="S68" t="s">
        <v>152</v>
      </c>
      <c r="T68" t="s">
        <v>152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  <c r="AF68" s="78">
        <v>0</v>
      </c>
      <c r="AG68" s="78">
        <v>0</v>
      </c>
      <c r="AH68" s="78">
        <v>0</v>
      </c>
      <c r="AI68" s="78">
        <v>0</v>
      </c>
      <c r="AJ68" s="78">
        <v>0</v>
      </c>
    </row>
    <row r="69" spans="1:36">
      <c r="A69" s="2">
        <v>46031</v>
      </c>
      <c r="B69" t="s">
        <v>90</v>
      </c>
      <c r="C69">
        <v>64065</v>
      </c>
      <c r="D69" s="19">
        <v>1588</v>
      </c>
      <c r="E69" t="s">
        <v>68</v>
      </c>
      <c r="F69" t="s">
        <v>46</v>
      </c>
      <c r="G69" t="s">
        <v>57</v>
      </c>
      <c r="H69" t="s">
        <v>54</v>
      </c>
      <c r="I69" t="s">
        <v>153</v>
      </c>
      <c r="J69" t="s">
        <v>50</v>
      </c>
      <c r="L69" s="78">
        <v>2</v>
      </c>
      <c r="M69">
        <v>1157.2253341000001</v>
      </c>
      <c r="P69" s="4"/>
      <c r="S69" s="88">
        <v>2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2</v>
      </c>
      <c r="AC69" s="78">
        <v>2</v>
      </c>
      <c r="AD69" s="78">
        <v>2</v>
      </c>
      <c r="AE69" s="78">
        <v>2</v>
      </c>
      <c r="AF69" s="78">
        <v>1</v>
      </c>
      <c r="AG69" s="78">
        <v>1</v>
      </c>
      <c r="AH69" s="78">
        <v>1</v>
      </c>
      <c r="AI69" s="78">
        <v>1</v>
      </c>
      <c r="AJ69" s="78">
        <v>1</v>
      </c>
    </row>
    <row r="70" spans="1:36">
      <c r="A70" s="2">
        <v>46031</v>
      </c>
      <c r="B70" t="s">
        <v>44</v>
      </c>
      <c r="C70">
        <v>64065</v>
      </c>
      <c r="D70">
        <v>1589</v>
      </c>
      <c r="E70" t="s">
        <v>99</v>
      </c>
      <c r="F70" t="s">
        <v>46</v>
      </c>
      <c r="G70" t="s">
        <v>57</v>
      </c>
      <c r="H70" t="s">
        <v>54</v>
      </c>
      <c r="J70" t="s">
        <v>50</v>
      </c>
      <c r="L70" s="78">
        <v>40</v>
      </c>
      <c r="M70">
        <v>732.94569399</v>
      </c>
      <c r="P70">
        <v>197.1435546875</v>
      </c>
      <c r="Q70" s="78">
        <v>0</v>
      </c>
      <c r="S70" s="88">
        <v>8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8</v>
      </c>
      <c r="AA70" s="78">
        <v>15</v>
      </c>
      <c r="AB70" s="78">
        <v>19</v>
      </c>
      <c r="AC70" s="78">
        <v>24</v>
      </c>
      <c r="AD70" s="78">
        <v>27</v>
      </c>
      <c r="AE70" s="78">
        <v>29</v>
      </c>
      <c r="AF70" s="78">
        <v>32</v>
      </c>
      <c r="AG70" s="78">
        <v>34</v>
      </c>
      <c r="AH70" s="78">
        <v>37</v>
      </c>
      <c r="AI70" s="78">
        <v>37</v>
      </c>
      <c r="AJ70" s="78">
        <v>40</v>
      </c>
    </row>
    <row r="71" spans="1:36">
      <c r="A71" s="2">
        <v>46031</v>
      </c>
      <c r="B71" t="s">
        <v>44</v>
      </c>
      <c r="C71">
        <v>64065</v>
      </c>
      <c r="D71">
        <v>1590</v>
      </c>
      <c r="E71" t="s">
        <v>142</v>
      </c>
      <c r="F71" t="s">
        <v>46</v>
      </c>
      <c r="G71" t="s">
        <v>57</v>
      </c>
      <c r="H71" t="s">
        <v>54</v>
      </c>
      <c r="I71" t="s">
        <v>155</v>
      </c>
      <c r="J71" t="s">
        <v>50</v>
      </c>
      <c r="L71" s="78">
        <v>26</v>
      </c>
      <c r="M71">
        <v>429.262766253</v>
      </c>
      <c r="P71">
        <v>130.615234375</v>
      </c>
      <c r="Q71" s="78">
        <v>9</v>
      </c>
      <c r="S71" s="88">
        <v>9</v>
      </c>
      <c r="U71" s="78">
        <v>0</v>
      </c>
      <c r="V71" s="78">
        <v>0</v>
      </c>
      <c r="W71" s="78">
        <v>0</v>
      </c>
      <c r="X71" s="78">
        <v>9</v>
      </c>
      <c r="Y71" s="78">
        <v>20</v>
      </c>
      <c r="Z71" s="78">
        <v>23</v>
      </c>
      <c r="AA71" s="78">
        <v>24</v>
      </c>
      <c r="AB71" s="78">
        <v>26</v>
      </c>
      <c r="AC71" s="78">
        <v>24</v>
      </c>
      <c r="AD71" s="78">
        <v>22</v>
      </c>
      <c r="AE71" s="78">
        <v>19</v>
      </c>
      <c r="AF71" s="78">
        <v>14</v>
      </c>
      <c r="AG71" s="78">
        <v>13</v>
      </c>
      <c r="AH71" s="78">
        <v>2</v>
      </c>
      <c r="AI71" s="78">
        <v>1</v>
      </c>
      <c r="AJ71" s="78">
        <v>1</v>
      </c>
    </row>
    <row r="72" spans="1:36">
      <c r="A72" s="2">
        <v>46031</v>
      </c>
      <c r="B72" t="s">
        <v>69</v>
      </c>
      <c r="C72">
        <v>64066</v>
      </c>
      <c r="D72">
        <v>1591</v>
      </c>
      <c r="E72" t="s">
        <v>99</v>
      </c>
      <c r="F72" t="s">
        <v>46</v>
      </c>
      <c r="G72" t="s">
        <v>57</v>
      </c>
      <c r="H72" t="s">
        <v>48</v>
      </c>
      <c r="I72" t="s">
        <v>153</v>
      </c>
      <c r="J72" t="s">
        <v>50</v>
      </c>
      <c r="L72" s="78">
        <v>18</v>
      </c>
      <c r="M72">
        <v>382.55331803000001</v>
      </c>
      <c r="P72">
        <v>59.2041015625</v>
      </c>
      <c r="Q72" s="78">
        <v>14</v>
      </c>
      <c r="S72" s="88">
        <v>8</v>
      </c>
      <c r="U72" s="78">
        <v>0</v>
      </c>
      <c r="V72" s="78">
        <v>8</v>
      </c>
      <c r="W72" s="78">
        <v>14</v>
      </c>
      <c r="X72" s="78">
        <v>18</v>
      </c>
      <c r="Y72" s="78">
        <v>13</v>
      </c>
      <c r="Z72" s="78">
        <v>9</v>
      </c>
      <c r="AA72" s="78">
        <v>2</v>
      </c>
      <c r="AB72" s="78">
        <v>1</v>
      </c>
      <c r="AC72" s="78">
        <v>1</v>
      </c>
      <c r="AD72" s="78">
        <v>1</v>
      </c>
      <c r="AE72" s="78">
        <v>1</v>
      </c>
      <c r="AF72" s="78">
        <v>1</v>
      </c>
      <c r="AG72" s="78">
        <v>1</v>
      </c>
      <c r="AH72" s="78">
        <v>1</v>
      </c>
      <c r="AI72" s="78">
        <v>1</v>
      </c>
      <c r="AJ72" s="78">
        <v>1</v>
      </c>
    </row>
    <row r="73" spans="1:36">
      <c r="A73" s="2">
        <v>46035</v>
      </c>
      <c r="B73" t="s">
        <v>44</v>
      </c>
      <c r="C73">
        <v>64059</v>
      </c>
      <c r="D73">
        <v>1592</v>
      </c>
      <c r="E73" t="s">
        <v>99</v>
      </c>
      <c r="F73" t="s">
        <v>65</v>
      </c>
      <c r="G73" t="s">
        <v>47</v>
      </c>
      <c r="H73" t="s">
        <v>54</v>
      </c>
      <c r="I73" t="s">
        <v>156</v>
      </c>
      <c r="J73" t="s">
        <v>50</v>
      </c>
      <c r="L73" s="78">
        <v>43</v>
      </c>
      <c r="M73">
        <v>580.77883151000003</v>
      </c>
      <c r="P73">
        <v>158.0810546875</v>
      </c>
      <c r="Q73" s="78">
        <v>22</v>
      </c>
      <c r="S73" s="88">
        <v>5</v>
      </c>
      <c r="U73" s="78">
        <v>0</v>
      </c>
      <c r="V73" s="78">
        <v>0</v>
      </c>
      <c r="W73" s="78">
        <v>0</v>
      </c>
      <c r="X73" s="78">
        <v>5</v>
      </c>
      <c r="Y73" s="78">
        <v>22</v>
      </c>
      <c r="Z73" s="78">
        <v>30</v>
      </c>
      <c r="AA73" s="78">
        <v>36</v>
      </c>
      <c r="AB73" s="78">
        <v>38</v>
      </c>
      <c r="AC73" s="78">
        <v>41</v>
      </c>
      <c r="AD73" s="78">
        <v>41</v>
      </c>
      <c r="AE73" s="78">
        <v>43</v>
      </c>
      <c r="AF73" s="78">
        <v>38</v>
      </c>
      <c r="AG73" s="78">
        <v>36</v>
      </c>
      <c r="AH73" s="78">
        <v>31</v>
      </c>
      <c r="AI73" s="78">
        <v>11</v>
      </c>
      <c r="AJ73" s="78">
        <v>7</v>
      </c>
    </row>
    <row r="74" spans="1:36">
      <c r="A74" s="2">
        <v>46035</v>
      </c>
      <c r="B74" t="s">
        <v>44</v>
      </c>
      <c r="C74">
        <v>64059</v>
      </c>
      <c r="D74">
        <v>1593</v>
      </c>
      <c r="E74" t="s">
        <v>142</v>
      </c>
      <c r="F74" t="s">
        <v>65</v>
      </c>
      <c r="G74" t="s">
        <v>47</v>
      </c>
      <c r="H74" t="s">
        <v>54</v>
      </c>
      <c r="I74" t="s">
        <v>157</v>
      </c>
      <c r="J74" t="s">
        <v>50</v>
      </c>
      <c r="L74" s="78">
        <v>55</v>
      </c>
      <c r="M74">
        <v>681.78028870000003</v>
      </c>
      <c r="P74">
        <v>203.2470703125</v>
      </c>
      <c r="Q74" s="78">
        <v>6</v>
      </c>
      <c r="S74" s="88">
        <v>6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6</v>
      </c>
      <c r="AA74" s="78">
        <v>15</v>
      </c>
      <c r="AB74" s="78">
        <v>19</v>
      </c>
      <c r="AC74" s="78">
        <v>22</v>
      </c>
      <c r="AD74" s="78">
        <v>24</v>
      </c>
      <c r="AE74" s="78">
        <v>26</v>
      </c>
      <c r="AF74" s="78">
        <v>26</v>
      </c>
      <c r="AG74" s="78">
        <v>31</v>
      </c>
      <c r="AH74" s="78">
        <v>37</v>
      </c>
      <c r="AI74" s="78">
        <v>48</v>
      </c>
      <c r="AJ74" s="78">
        <v>55</v>
      </c>
    </row>
    <row r="75" spans="1:36">
      <c r="A75" s="2">
        <v>46035</v>
      </c>
      <c r="B75" t="s">
        <v>158</v>
      </c>
      <c r="C75">
        <v>64059</v>
      </c>
      <c r="D75" s="19">
        <v>1594</v>
      </c>
      <c r="F75" t="s">
        <v>65</v>
      </c>
      <c r="G75" t="s">
        <v>47</v>
      </c>
      <c r="H75" t="s">
        <v>54</v>
      </c>
      <c r="J75" t="s">
        <v>50</v>
      </c>
      <c r="L75" s="78">
        <v>1</v>
      </c>
      <c r="M75">
        <v>127.17185596099999</v>
      </c>
      <c r="P75">
        <v>10.986328125</v>
      </c>
      <c r="Q75" s="78">
        <v>1</v>
      </c>
      <c r="S75" s="88">
        <v>1</v>
      </c>
      <c r="U75" s="78">
        <v>0</v>
      </c>
      <c r="V75" s="78">
        <v>1</v>
      </c>
      <c r="W75" s="78">
        <v>1</v>
      </c>
      <c r="X75" s="78">
        <v>1</v>
      </c>
      <c r="Y75" s="78">
        <v>1</v>
      </c>
      <c r="Z75" s="78">
        <v>1</v>
      </c>
      <c r="AA75" s="78">
        <v>1</v>
      </c>
      <c r="AB75" s="78">
        <v>1</v>
      </c>
      <c r="AC75" s="78">
        <v>1</v>
      </c>
      <c r="AD75" s="78">
        <v>1</v>
      </c>
      <c r="AE75" s="78">
        <v>1</v>
      </c>
      <c r="AF75" s="78">
        <v>1</v>
      </c>
      <c r="AG75" s="78">
        <v>1</v>
      </c>
      <c r="AH75" s="78">
        <v>1</v>
      </c>
      <c r="AI75" s="78">
        <v>1</v>
      </c>
      <c r="AJ75" s="78">
        <v>1</v>
      </c>
    </row>
    <row r="76" spans="1:36">
      <c r="A76" s="2">
        <v>46035</v>
      </c>
      <c r="B76" t="s">
        <v>44</v>
      </c>
      <c r="C76">
        <v>64060</v>
      </c>
      <c r="D76">
        <v>1595</v>
      </c>
      <c r="E76" t="s">
        <v>159</v>
      </c>
      <c r="F76" t="s">
        <v>65</v>
      </c>
      <c r="G76" t="s">
        <v>47</v>
      </c>
      <c r="H76" t="s">
        <v>48</v>
      </c>
      <c r="I76" t="s">
        <v>160</v>
      </c>
      <c r="J76" t="s">
        <v>50</v>
      </c>
      <c r="L76" s="78">
        <v>17</v>
      </c>
      <c r="M76">
        <v>580.79545208000002</v>
      </c>
      <c r="P76">
        <v>122.0703125</v>
      </c>
      <c r="Q76" s="78">
        <v>6</v>
      </c>
      <c r="S76" s="88">
        <v>6</v>
      </c>
      <c r="U76" s="78">
        <v>0</v>
      </c>
      <c r="V76" s="78">
        <v>0</v>
      </c>
      <c r="W76" s="78">
        <v>0</v>
      </c>
      <c r="X76" s="78">
        <v>6</v>
      </c>
      <c r="Y76" s="78">
        <v>15</v>
      </c>
      <c r="Z76" s="78">
        <v>17</v>
      </c>
      <c r="AA76" s="78">
        <v>14</v>
      </c>
      <c r="AB76" s="78">
        <v>10</v>
      </c>
      <c r="AC76" s="78">
        <v>12</v>
      </c>
      <c r="AD76" s="78">
        <v>10</v>
      </c>
      <c r="AE76" s="78">
        <v>8</v>
      </c>
      <c r="AF76" s="78">
        <v>3</v>
      </c>
      <c r="AG76" s="78">
        <v>2</v>
      </c>
      <c r="AH76" s="78">
        <v>2</v>
      </c>
      <c r="AI76" s="78">
        <v>2</v>
      </c>
      <c r="AJ76" s="78">
        <v>1</v>
      </c>
    </row>
    <row r="77" spans="1:36">
      <c r="A77" s="2">
        <v>46036</v>
      </c>
      <c r="B77" t="s">
        <v>44</v>
      </c>
      <c r="C77">
        <v>64057</v>
      </c>
      <c r="D77">
        <v>1596</v>
      </c>
      <c r="E77" t="s">
        <v>107</v>
      </c>
      <c r="F77" t="s">
        <v>65</v>
      </c>
      <c r="G77" t="s">
        <v>57</v>
      </c>
      <c r="H77" t="s">
        <v>48</v>
      </c>
      <c r="I77" t="s">
        <v>161</v>
      </c>
      <c r="J77" t="s">
        <v>50</v>
      </c>
      <c r="L77" s="78">
        <v>18</v>
      </c>
      <c r="M77">
        <v>657.37525748999997</v>
      </c>
      <c r="P77">
        <v>132.4462890625</v>
      </c>
      <c r="Q77" s="78">
        <v>4</v>
      </c>
      <c r="S77" s="88">
        <v>4</v>
      </c>
      <c r="U77" s="78">
        <v>0</v>
      </c>
      <c r="V77" s="78">
        <v>0</v>
      </c>
      <c r="W77" s="78">
        <v>0</v>
      </c>
      <c r="X77" s="78">
        <v>4</v>
      </c>
      <c r="Y77" s="78">
        <v>8</v>
      </c>
      <c r="Z77" s="78">
        <v>13</v>
      </c>
      <c r="AA77" s="78">
        <v>12</v>
      </c>
      <c r="AB77" s="78">
        <v>16</v>
      </c>
      <c r="AC77" s="78">
        <v>18</v>
      </c>
      <c r="AD77" s="78">
        <v>14</v>
      </c>
      <c r="AE77" s="78">
        <v>15</v>
      </c>
      <c r="AF77" s="78">
        <v>12</v>
      </c>
      <c r="AG77" s="78">
        <v>12</v>
      </c>
      <c r="AH77" s="78">
        <v>9</v>
      </c>
      <c r="AI77" s="78">
        <v>2</v>
      </c>
      <c r="AJ77" s="78">
        <v>1</v>
      </c>
    </row>
    <row r="78" spans="1:36">
      <c r="A78" s="2">
        <v>46036</v>
      </c>
      <c r="B78" t="s">
        <v>44</v>
      </c>
      <c r="C78">
        <v>64057</v>
      </c>
      <c r="D78">
        <v>1597</v>
      </c>
      <c r="E78" t="s">
        <v>116</v>
      </c>
      <c r="F78" t="s">
        <v>65</v>
      </c>
      <c r="G78" t="s">
        <v>57</v>
      </c>
      <c r="H78" t="s">
        <v>48</v>
      </c>
      <c r="I78" t="s">
        <v>162</v>
      </c>
      <c r="J78" t="s">
        <v>50</v>
      </c>
      <c r="L78" s="78">
        <v>12</v>
      </c>
      <c r="M78">
        <v>682.945419077</v>
      </c>
      <c r="P78">
        <v>158.0810546875</v>
      </c>
      <c r="Q78" s="78">
        <v>5</v>
      </c>
      <c r="S78" s="88">
        <v>2</v>
      </c>
      <c r="U78" s="78">
        <v>0</v>
      </c>
      <c r="V78" s="78">
        <v>0</v>
      </c>
      <c r="W78" s="78">
        <v>0</v>
      </c>
      <c r="X78" s="78">
        <v>2</v>
      </c>
      <c r="Y78" s="78">
        <v>5</v>
      </c>
      <c r="Z78" s="78">
        <v>7</v>
      </c>
      <c r="AA78" s="78">
        <v>8</v>
      </c>
      <c r="AB78" s="78">
        <v>10</v>
      </c>
      <c r="AC78" s="78">
        <v>10</v>
      </c>
      <c r="AD78" s="78">
        <v>10</v>
      </c>
      <c r="AE78" s="78">
        <v>12</v>
      </c>
      <c r="AF78" s="78">
        <v>12</v>
      </c>
      <c r="AG78" s="78">
        <v>8</v>
      </c>
      <c r="AH78" s="78">
        <v>1</v>
      </c>
      <c r="AI78" s="78">
        <v>1</v>
      </c>
      <c r="AJ78" s="78">
        <v>1</v>
      </c>
    </row>
    <row r="79" spans="1:36">
      <c r="A79" s="2">
        <v>46036</v>
      </c>
      <c r="B79" t="s">
        <v>44</v>
      </c>
      <c r="C79">
        <v>64058</v>
      </c>
      <c r="D79" s="19">
        <v>1598</v>
      </c>
      <c r="E79" t="s">
        <v>163</v>
      </c>
      <c r="F79" t="s">
        <v>65</v>
      </c>
      <c r="G79" t="s">
        <v>57</v>
      </c>
      <c r="H79" t="s">
        <v>54</v>
      </c>
      <c r="I79" t="s">
        <v>164</v>
      </c>
      <c r="J79" t="s">
        <v>50</v>
      </c>
      <c r="L79" s="78">
        <v>11</v>
      </c>
      <c r="M79">
        <v>328.48350904</v>
      </c>
      <c r="P79">
        <v>53.7109375</v>
      </c>
      <c r="Q79" s="78">
        <v>9</v>
      </c>
      <c r="S79" s="88">
        <v>5</v>
      </c>
      <c r="U79" s="78">
        <v>0</v>
      </c>
      <c r="V79" s="78">
        <v>5</v>
      </c>
      <c r="W79" s="78">
        <v>9</v>
      </c>
      <c r="X79" s="78">
        <v>11</v>
      </c>
      <c r="Y79" s="78">
        <v>9</v>
      </c>
      <c r="Z79" s="78">
        <v>8</v>
      </c>
      <c r="AA79" s="78">
        <v>1</v>
      </c>
      <c r="AB79" s="78">
        <v>1</v>
      </c>
      <c r="AC79" s="78">
        <v>1</v>
      </c>
      <c r="AD79" s="78">
        <v>1</v>
      </c>
      <c r="AE79" s="78">
        <v>1</v>
      </c>
      <c r="AF79" s="78">
        <v>1</v>
      </c>
      <c r="AG79" s="78">
        <v>1</v>
      </c>
      <c r="AH79" s="78">
        <v>1</v>
      </c>
      <c r="AI79" s="78">
        <v>1</v>
      </c>
      <c r="AJ79" s="78">
        <v>1</v>
      </c>
    </row>
    <row r="80" spans="1:36">
      <c r="A80" s="2">
        <v>46036</v>
      </c>
      <c r="B80" t="s">
        <v>44</v>
      </c>
      <c r="C80">
        <v>64058</v>
      </c>
      <c r="D80">
        <v>1599</v>
      </c>
      <c r="E80" t="s">
        <v>165</v>
      </c>
      <c r="F80" t="s">
        <v>65</v>
      </c>
      <c r="G80" t="s">
        <v>57</v>
      </c>
      <c r="H80" t="s">
        <v>54</v>
      </c>
      <c r="I80" t="s">
        <v>166</v>
      </c>
      <c r="J80" t="s">
        <v>50</v>
      </c>
      <c r="L80" s="78">
        <v>8</v>
      </c>
      <c r="M80">
        <v>378.76323892000005</v>
      </c>
      <c r="P80">
        <v>56.15234375</v>
      </c>
      <c r="Q80" s="78">
        <v>7</v>
      </c>
      <c r="S80" s="88">
        <v>7</v>
      </c>
      <c r="U80" s="78">
        <v>0</v>
      </c>
      <c r="V80" s="78">
        <v>0</v>
      </c>
      <c r="W80" s="78">
        <v>7</v>
      </c>
      <c r="X80" s="78">
        <v>8</v>
      </c>
      <c r="Y80" s="78">
        <v>5</v>
      </c>
      <c r="Z80" s="78">
        <v>2</v>
      </c>
      <c r="AA80" s="78">
        <v>2</v>
      </c>
      <c r="AB80" s="78">
        <v>1</v>
      </c>
      <c r="AC80" s="78">
        <v>1</v>
      </c>
      <c r="AD80" s="78">
        <v>1</v>
      </c>
      <c r="AE80" s="78">
        <v>1</v>
      </c>
      <c r="AF80" s="78">
        <v>1</v>
      </c>
      <c r="AG80" s="78">
        <v>1</v>
      </c>
      <c r="AH80" s="78">
        <v>1</v>
      </c>
      <c r="AI80" s="78">
        <v>1</v>
      </c>
      <c r="AJ80" s="78">
        <v>1</v>
      </c>
    </row>
    <row r="81" spans="1:36">
      <c r="A81" s="2">
        <v>46036</v>
      </c>
      <c r="B81" t="s">
        <v>44</v>
      </c>
      <c r="C81">
        <v>64058</v>
      </c>
      <c r="D81">
        <v>1600</v>
      </c>
      <c r="E81" t="s">
        <v>167</v>
      </c>
      <c r="F81" t="s">
        <v>65</v>
      </c>
      <c r="G81" t="s">
        <v>57</v>
      </c>
      <c r="H81" t="s">
        <v>54</v>
      </c>
      <c r="I81" t="s">
        <v>168</v>
      </c>
      <c r="J81" t="s">
        <v>50</v>
      </c>
      <c r="L81" s="78">
        <v>13</v>
      </c>
      <c r="M81">
        <v>252.59229474</v>
      </c>
      <c r="P81">
        <v>36.62109375</v>
      </c>
      <c r="Q81" s="78">
        <v>8</v>
      </c>
      <c r="S81" s="88">
        <v>8</v>
      </c>
      <c r="U81" s="78">
        <v>0</v>
      </c>
      <c r="V81" s="78">
        <v>8</v>
      </c>
      <c r="W81" s="78">
        <v>13</v>
      </c>
      <c r="X81" s="78">
        <v>13</v>
      </c>
      <c r="Y81" s="78">
        <v>11</v>
      </c>
      <c r="Z81" s="78">
        <v>1</v>
      </c>
      <c r="AA81" s="78">
        <v>1</v>
      </c>
      <c r="AB81" s="78">
        <v>1</v>
      </c>
      <c r="AC81" s="78">
        <v>1</v>
      </c>
      <c r="AD81" s="78">
        <v>1</v>
      </c>
      <c r="AE81" s="78">
        <v>1</v>
      </c>
      <c r="AF81" s="78">
        <v>1</v>
      </c>
      <c r="AG81" s="78">
        <v>1</v>
      </c>
      <c r="AH81" s="78">
        <v>1</v>
      </c>
      <c r="AI81" s="78">
        <v>1</v>
      </c>
      <c r="AJ81" s="78">
        <v>1</v>
      </c>
    </row>
    <row r="82" spans="1:36">
      <c r="A82" s="2">
        <v>46037</v>
      </c>
      <c r="B82" t="s">
        <v>158</v>
      </c>
      <c r="C82">
        <v>64067</v>
      </c>
      <c r="D82">
        <v>1601</v>
      </c>
      <c r="F82" t="s">
        <v>46</v>
      </c>
      <c r="G82" t="s">
        <v>47</v>
      </c>
      <c r="H82" t="s">
        <v>54</v>
      </c>
      <c r="J82" t="s">
        <v>50</v>
      </c>
      <c r="L82" s="78">
        <v>21</v>
      </c>
      <c r="M82">
        <v>866.15787499999999</v>
      </c>
      <c r="P82">
        <v>194.091796875</v>
      </c>
      <c r="Q82" s="78">
        <v>7</v>
      </c>
      <c r="S82" s="88">
        <v>7</v>
      </c>
      <c r="U82" s="78">
        <v>0</v>
      </c>
      <c r="V82" s="78">
        <v>0</v>
      </c>
      <c r="W82" s="78">
        <v>0</v>
      </c>
      <c r="X82" s="78">
        <v>0</v>
      </c>
      <c r="Y82" s="78">
        <v>7</v>
      </c>
      <c r="Z82" s="78">
        <v>10</v>
      </c>
      <c r="AA82" s="78">
        <v>14</v>
      </c>
      <c r="AB82" s="78">
        <v>16</v>
      </c>
      <c r="AC82" s="78">
        <v>18</v>
      </c>
      <c r="AD82" s="78">
        <v>20</v>
      </c>
      <c r="AE82" s="78">
        <v>21</v>
      </c>
      <c r="AF82" s="78">
        <v>4</v>
      </c>
      <c r="AG82" s="78">
        <v>1</v>
      </c>
      <c r="AH82" s="78">
        <v>2</v>
      </c>
      <c r="AI82" s="78">
        <v>2</v>
      </c>
      <c r="AJ82" s="78">
        <v>2</v>
      </c>
    </row>
    <row r="83" spans="1:36">
      <c r="A83" s="2">
        <v>46037</v>
      </c>
      <c r="B83" t="s">
        <v>69</v>
      </c>
      <c r="C83">
        <v>64067</v>
      </c>
      <c r="D83">
        <v>1602</v>
      </c>
      <c r="E83" t="s">
        <v>93</v>
      </c>
      <c r="F83" t="s">
        <v>46</v>
      </c>
      <c r="G83" t="s">
        <v>47</v>
      </c>
      <c r="H83" t="s">
        <v>54</v>
      </c>
      <c r="I83" t="s">
        <v>169</v>
      </c>
      <c r="J83" t="s">
        <v>50</v>
      </c>
      <c r="L83" s="78">
        <v>27</v>
      </c>
      <c r="M83">
        <v>575</v>
      </c>
      <c r="P83">
        <v>521.8505859375</v>
      </c>
      <c r="Q83" s="78">
        <v>26</v>
      </c>
      <c r="S83" s="88">
        <v>10</v>
      </c>
      <c r="U83" s="78">
        <v>0</v>
      </c>
      <c r="V83" s="78">
        <v>0</v>
      </c>
      <c r="W83" s="78">
        <v>0</v>
      </c>
      <c r="X83" s="78">
        <v>10</v>
      </c>
      <c r="Y83" s="78">
        <v>16</v>
      </c>
      <c r="Z83" s="78">
        <v>19</v>
      </c>
      <c r="AA83" s="78">
        <v>22</v>
      </c>
      <c r="AB83" s="78">
        <v>23</v>
      </c>
      <c r="AC83" s="78">
        <v>25</v>
      </c>
      <c r="AD83" s="78">
        <v>25</v>
      </c>
      <c r="AE83" s="78">
        <v>27</v>
      </c>
      <c r="AF83" s="78">
        <v>26</v>
      </c>
      <c r="AG83" s="78">
        <v>25</v>
      </c>
      <c r="AH83" s="78">
        <v>25</v>
      </c>
      <c r="AI83" s="78">
        <v>21</v>
      </c>
      <c r="AJ83" s="78">
        <v>1</v>
      </c>
    </row>
    <row r="84" spans="1:36">
      <c r="A84" s="2">
        <v>46037</v>
      </c>
      <c r="B84" t="s">
        <v>69</v>
      </c>
      <c r="C84">
        <v>64068</v>
      </c>
      <c r="D84">
        <v>1603</v>
      </c>
      <c r="E84" t="s">
        <v>170</v>
      </c>
      <c r="F84" t="s">
        <v>46</v>
      </c>
      <c r="G84" t="s">
        <v>47</v>
      </c>
      <c r="H84" t="s">
        <v>48</v>
      </c>
      <c r="I84" t="s">
        <v>171</v>
      </c>
      <c r="J84" t="s">
        <v>50</v>
      </c>
      <c r="L84" s="78">
        <v>16</v>
      </c>
      <c r="M84">
        <v>525</v>
      </c>
      <c r="P84">
        <v>714.7216796875</v>
      </c>
      <c r="Q84" s="78">
        <v>1</v>
      </c>
      <c r="S84" s="88">
        <v>2</v>
      </c>
      <c r="U84" s="78">
        <v>0</v>
      </c>
      <c r="V84" s="78">
        <v>0</v>
      </c>
      <c r="W84" s="78">
        <v>2</v>
      </c>
      <c r="X84" s="78">
        <v>6</v>
      </c>
      <c r="Y84" s="78">
        <v>10</v>
      </c>
      <c r="Z84" s="78">
        <v>13</v>
      </c>
      <c r="AA84" s="78">
        <v>13</v>
      </c>
      <c r="AB84" s="78">
        <v>16</v>
      </c>
      <c r="AC84" s="78">
        <v>15</v>
      </c>
      <c r="AD84" s="78">
        <v>16</v>
      </c>
      <c r="AE84" s="78">
        <v>15</v>
      </c>
      <c r="AF84" s="78">
        <v>1</v>
      </c>
      <c r="AG84" s="78">
        <v>1</v>
      </c>
      <c r="AH84" s="78">
        <v>1</v>
      </c>
      <c r="AI84" s="78">
        <v>1</v>
      </c>
      <c r="AJ84" s="78">
        <v>1</v>
      </c>
    </row>
    <row r="85" spans="1:36">
      <c r="A85" s="2">
        <v>46037</v>
      </c>
      <c r="B85" t="s">
        <v>69</v>
      </c>
      <c r="C85">
        <v>64068</v>
      </c>
      <c r="D85">
        <v>1604</v>
      </c>
      <c r="E85" t="s">
        <v>172</v>
      </c>
      <c r="F85" t="s">
        <v>46</v>
      </c>
      <c r="G85" t="s">
        <v>47</v>
      </c>
      <c r="H85" t="s">
        <v>48</v>
      </c>
      <c r="I85" t="s">
        <v>173</v>
      </c>
      <c r="J85" t="s">
        <v>50</v>
      </c>
      <c r="L85" s="78">
        <v>18</v>
      </c>
      <c r="M85">
        <v>600</v>
      </c>
      <c r="P85">
        <v>595.703125</v>
      </c>
      <c r="Q85" s="78">
        <v>18</v>
      </c>
      <c r="S85" s="88">
        <v>7</v>
      </c>
      <c r="U85" s="78">
        <v>0</v>
      </c>
      <c r="V85" s="78">
        <v>0</v>
      </c>
      <c r="W85" s="78">
        <v>0</v>
      </c>
      <c r="X85" s="78">
        <v>7</v>
      </c>
      <c r="Y85" s="78">
        <v>11</v>
      </c>
      <c r="Z85" s="78">
        <v>14</v>
      </c>
      <c r="AA85" s="78">
        <v>15</v>
      </c>
      <c r="AB85" s="78">
        <v>16</v>
      </c>
      <c r="AC85" s="78">
        <v>17</v>
      </c>
      <c r="AD85" s="78">
        <v>18</v>
      </c>
      <c r="AE85" s="78">
        <v>18</v>
      </c>
      <c r="AF85" s="78">
        <v>18</v>
      </c>
      <c r="AG85" s="78">
        <v>14</v>
      </c>
      <c r="AH85" s="78">
        <v>2</v>
      </c>
      <c r="AI85" s="78">
        <v>1</v>
      </c>
      <c r="AJ85" s="78">
        <v>1</v>
      </c>
    </row>
    <row r="86" spans="1:36">
      <c r="A86" s="2">
        <v>46038</v>
      </c>
      <c r="B86" t="s">
        <v>90</v>
      </c>
      <c r="C86">
        <v>64061</v>
      </c>
      <c r="D86">
        <v>1605</v>
      </c>
      <c r="E86" t="s">
        <v>174</v>
      </c>
      <c r="F86" t="s">
        <v>65</v>
      </c>
      <c r="G86" t="s">
        <v>57</v>
      </c>
      <c r="H86" t="s">
        <v>48</v>
      </c>
      <c r="I86" t="s">
        <v>175</v>
      </c>
      <c r="J86" t="s">
        <v>50</v>
      </c>
      <c r="L86" s="89" t="s">
        <v>59</v>
      </c>
      <c r="M86">
        <v>1239.1287155</v>
      </c>
      <c r="P86">
        <v>361.328125</v>
      </c>
      <c r="Q86" s="78" t="s">
        <v>59</v>
      </c>
      <c r="S86" s="89" t="s">
        <v>59</v>
      </c>
      <c r="U86" s="78" t="s">
        <v>59</v>
      </c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</row>
    <row r="87" spans="1:36">
      <c r="A87" s="2">
        <v>46038</v>
      </c>
      <c r="B87" t="s">
        <v>44</v>
      </c>
      <c r="C87">
        <v>64061</v>
      </c>
      <c r="D87">
        <v>1606</v>
      </c>
      <c r="E87" t="s">
        <v>176</v>
      </c>
      <c r="F87" t="s">
        <v>65</v>
      </c>
      <c r="G87" t="s">
        <v>57</v>
      </c>
      <c r="H87" t="s">
        <v>48</v>
      </c>
      <c r="I87" t="s">
        <v>151</v>
      </c>
      <c r="J87" t="s">
        <v>50</v>
      </c>
      <c r="L87" s="78">
        <v>9</v>
      </c>
      <c r="M87">
        <v>283.16016296999999</v>
      </c>
      <c r="P87">
        <v>63.4765625</v>
      </c>
      <c r="Q87" s="78">
        <v>5</v>
      </c>
      <c r="S87" s="88">
        <v>5</v>
      </c>
      <c r="U87" s="78">
        <v>0</v>
      </c>
      <c r="V87" s="78">
        <v>0</v>
      </c>
      <c r="W87" s="78">
        <v>5</v>
      </c>
      <c r="X87" s="78">
        <v>9</v>
      </c>
      <c r="Y87" s="78">
        <v>8</v>
      </c>
      <c r="Z87" s="78">
        <v>6</v>
      </c>
      <c r="AA87" s="78">
        <v>1</v>
      </c>
      <c r="AB87" s="78">
        <v>1</v>
      </c>
      <c r="AC87" s="78">
        <v>1</v>
      </c>
      <c r="AD87" s="78">
        <v>1</v>
      </c>
      <c r="AE87" s="78">
        <v>1</v>
      </c>
      <c r="AF87" s="78">
        <v>1</v>
      </c>
      <c r="AG87" s="78">
        <v>1</v>
      </c>
      <c r="AH87" s="78">
        <v>1</v>
      </c>
      <c r="AI87" s="78">
        <v>1</v>
      </c>
      <c r="AJ87" s="78">
        <v>1</v>
      </c>
    </row>
    <row r="88" spans="1:36">
      <c r="A88" s="2">
        <v>46038</v>
      </c>
      <c r="B88" t="s">
        <v>90</v>
      </c>
      <c r="C88">
        <v>64061</v>
      </c>
      <c r="D88">
        <v>1607</v>
      </c>
      <c r="E88" t="s">
        <v>177</v>
      </c>
      <c r="F88" t="s">
        <v>65</v>
      </c>
      <c r="G88" t="s">
        <v>57</v>
      </c>
      <c r="H88" t="s">
        <v>48</v>
      </c>
      <c r="J88" t="s">
        <v>50</v>
      </c>
      <c r="L88" s="78">
        <v>2</v>
      </c>
      <c r="M88">
        <v>1617.71305889</v>
      </c>
      <c r="P88">
        <v>173.33984375</v>
      </c>
      <c r="Q88" s="78">
        <v>0</v>
      </c>
      <c r="S88" s="88">
        <v>1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  <c r="AF88" s="78">
        <v>0</v>
      </c>
      <c r="AG88" s="78">
        <v>1</v>
      </c>
      <c r="AH88" s="78">
        <v>2</v>
      </c>
      <c r="AI88" s="78">
        <v>2</v>
      </c>
      <c r="AJ88" s="78">
        <v>1</v>
      </c>
    </row>
    <row r="89" spans="1:36">
      <c r="A89" s="2">
        <v>46038</v>
      </c>
      <c r="B89" t="s">
        <v>90</v>
      </c>
      <c r="C89">
        <v>64062</v>
      </c>
      <c r="D89">
        <v>1608</v>
      </c>
      <c r="E89" t="s">
        <v>178</v>
      </c>
      <c r="F89" t="s">
        <v>65</v>
      </c>
      <c r="G89" t="s">
        <v>57</v>
      </c>
      <c r="H89" t="s">
        <v>54</v>
      </c>
      <c r="J89" t="s">
        <v>50</v>
      </c>
      <c r="L89" s="89" t="s">
        <v>59</v>
      </c>
      <c r="M89">
        <v>809.17588422999995</v>
      </c>
      <c r="P89">
        <v>160.5224609375</v>
      </c>
      <c r="Q89" s="78" t="s">
        <v>59</v>
      </c>
      <c r="S89" s="89" t="s">
        <v>59</v>
      </c>
      <c r="U89" s="78" t="s">
        <v>59</v>
      </c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</row>
    <row r="90" spans="1:36">
      <c r="A90" s="2">
        <v>46038</v>
      </c>
      <c r="B90" t="s">
        <v>44</v>
      </c>
      <c r="C90">
        <v>64062</v>
      </c>
      <c r="D90">
        <v>1609</v>
      </c>
      <c r="E90" t="s">
        <v>142</v>
      </c>
      <c r="F90" t="s">
        <v>65</v>
      </c>
      <c r="G90" t="s">
        <v>57</v>
      </c>
      <c r="H90" t="s">
        <v>54</v>
      </c>
      <c r="J90" t="s">
        <v>50</v>
      </c>
      <c r="L90" s="78">
        <v>13</v>
      </c>
      <c r="M90">
        <v>360.68951896800002</v>
      </c>
      <c r="P90">
        <v>66.5283203125</v>
      </c>
      <c r="Q90" s="78">
        <v>8</v>
      </c>
      <c r="S90" s="88">
        <v>8</v>
      </c>
      <c r="U90" s="78">
        <v>0</v>
      </c>
      <c r="V90" s="78">
        <v>0</v>
      </c>
      <c r="W90" s="78">
        <v>8</v>
      </c>
      <c r="X90" s="78">
        <v>13</v>
      </c>
      <c r="Y90" s="78">
        <v>13</v>
      </c>
      <c r="Z90" s="78">
        <v>7</v>
      </c>
      <c r="AA90" s="78">
        <v>1</v>
      </c>
      <c r="AB90" s="78">
        <v>1</v>
      </c>
      <c r="AC90" s="78">
        <v>1</v>
      </c>
      <c r="AD90" s="78">
        <v>1</v>
      </c>
      <c r="AE90" s="78">
        <v>1</v>
      </c>
      <c r="AF90" s="78">
        <v>1</v>
      </c>
      <c r="AG90" s="78">
        <v>1</v>
      </c>
      <c r="AH90" s="78">
        <v>1</v>
      </c>
      <c r="AI90" s="78">
        <v>1</v>
      </c>
      <c r="AJ90" s="78">
        <v>1</v>
      </c>
    </row>
    <row r="91" spans="1:36">
      <c r="A91" s="2">
        <v>46038</v>
      </c>
      <c r="B91" t="s">
        <v>90</v>
      </c>
      <c r="C91">
        <v>64062</v>
      </c>
      <c r="D91" s="19">
        <v>1610</v>
      </c>
      <c r="E91" t="s">
        <v>179</v>
      </c>
      <c r="F91" t="s">
        <v>65</v>
      </c>
      <c r="G91" t="s">
        <v>57</v>
      </c>
      <c r="H91" t="s">
        <v>54</v>
      </c>
      <c r="J91" t="s">
        <v>50</v>
      </c>
      <c r="L91" s="89" t="s">
        <v>59</v>
      </c>
      <c r="M91">
        <v>126.82945254000001</v>
      </c>
      <c r="P91">
        <v>28.076171875</v>
      </c>
      <c r="Q91" s="78" t="s">
        <v>59</v>
      </c>
      <c r="S91" s="89" t="s">
        <v>59</v>
      </c>
      <c r="U91" s="78" t="s">
        <v>59</v>
      </c>
      <c r="V91" s="78" t="s">
        <v>180</v>
      </c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</row>
    <row r="92" spans="1:36">
      <c r="A92" s="2">
        <v>46038</v>
      </c>
      <c r="B92" t="s">
        <v>158</v>
      </c>
      <c r="C92">
        <v>64061</v>
      </c>
      <c r="D92" s="19">
        <v>1611</v>
      </c>
      <c r="F92" t="s">
        <v>65</v>
      </c>
      <c r="G92" t="s">
        <v>57</v>
      </c>
      <c r="H92" t="s">
        <v>48</v>
      </c>
      <c r="J92" t="s">
        <v>50</v>
      </c>
      <c r="L92" s="78">
        <v>7</v>
      </c>
      <c r="M92">
        <v>433.04222865000003</v>
      </c>
      <c r="P92">
        <v>194.091796875</v>
      </c>
      <c r="Q92" s="78">
        <v>6</v>
      </c>
      <c r="S92" s="88">
        <v>5</v>
      </c>
      <c r="U92" s="78">
        <v>0</v>
      </c>
      <c r="V92" s="78">
        <v>0</v>
      </c>
      <c r="W92" s="78">
        <v>0</v>
      </c>
      <c r="X92" s="78">
        <v>5</v>
      </c>
      <c r="Y92" s="78">
        <v>6</v>
      </c>
      <c r="Z92" s="78">
        <v>7</v>
      </c>
      <c r="AA92" s="78">
        <v>3</v>
      </c>
      <c r="AB92" s="78">
        <v>1</v>
      </c>
      <c r="AC92" s="78">
        <v>1</v>
      </c>
      <c r="AD92" s="78">
        <v>1</v>
      </c>
      <c r="AE92" s="78">
        <v>1</v>
      </c>
      <c r="AF92" s="78">
        <v>1</v>
      </c>
      <c r="AG92" s="78">
        <v>1</v>
      </c>
      <c r="AH92" s="78">
        <v>1</v>
      </c>
      <c r="AI92" s="78">
        <v>1</v>
      </c>
      <c r="AJ92" s="78">
        <v>1</v>
      </c>
    </row>
    <row r="93" spans="1:36">
      <c r="A93" s="2">
        <v>46038</v>
      </c>
      <c r="B93" t="s">
        <v>90</v>
      </c>
      <c r="C93">
        <v>64062</v>
      </c>
      <c r="D93" s="19">
        <v>1612</v>
      </c>
      <c r="E93" t="s">
        <v>181</v>
      </c>
      <c r="F93" t="s">
        <v>65</v>
      </c>
      <c r="G93" t="s">
        <v>57</v>
      </c>
      <c r="H93" t="s">
        <v>54</v>
      </c>
      <c r="J93" t="s">
        <v>50</v>
      </c>
      <c r="L93" s="78">
        <v>5</v>
      </c>
      <c r="M93">
        <v>1112.4540635599999</v>
      </c>
      <c r="P93" s="4"/>
      <c r="Q93" s="4"/>
      <c r="S93" s="88">
        <v>3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  <c r="AF93" s="78">
        <v>0</v>
      </c>
      <c r="AG93" s="78">
        <v>3</v>
      </c>
      <c r="AH93" s="78">
        <v>5</v>
      </c>
      <c r="AI93" s="78">
        <v>2</v>
      </c>
      <c r="AJ93" s="78">
        <v>1</v>
      </c>
    </row>
    <row r="94" spans="1:36">
      <c r="A94" s="2">
        <v>46038</v>
      </c>
      <c r="B94" t="s">
        <v>44</v>
      </c>
      <c r="C94">
        <v>64062</v>
      </c>
      <c r="D94" s="19">
        <v>1613</v>
      </c>
      <c r="F94" t="s">
        <v>65</v>
      </c>
      <c r="G94" t="s">
        <v>57</v>
      </c>
      <c r="H94" t="s">
        <v>54</v>
      </c>
      <c r="I94" t="s">
        <v>182</v>
      </c>
      <c r="J94" t="s">
        <v>50</v>
      </c>
      <c r="L94" s="78" t="s">
        <v>152</v>
      </c>
      <c r="M94">
        <v>154.20795249</v>
      </c>
      <c r="P94">
        <v>24.4140625</v>
      </c>
      <c r="Q94" s="78" t="s">
        <v>152</v>
      </c>
      <c r="S94" s="78" t="s">
        <v>152</v>
      </c>
      <c r="U94" s="78" t="s">
        <v>152</v>
      </c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</row>
    <row r="95" spans="1:36">
      <c r="A95" s="2">
        <v>46042</v>
      </c>
      <c r="B95" t="s">
        <v>69</v>
      </c>
      <c r="C95">
        <v>64069</v>
      </c>
      <c r="D95" s="19">
        <v>1614</v>
      </c>
      <c r="E95" t="s">
        <v>140</v>
      </c>
      <c r="F95" t="s">
        <v>46</v>
      </c>
      <c r="G95" t="s">
        <v>57</v>
      </c>
      <c r="H95" t="s">
        <v>54</v>
      </c>
      <c r="I95" t="s">
        <v>183</v>
      </c>
      <c r="J95" t="s">
        <v>80</v>
      </c>
      <c r="L95" s="78">
        <v>51</v>
      </c>
      <c r="M95">
        <v>480.5271406</v>
      </c>
      <c r="P95">
        <v>101.9287109375</v>
      </c>
      <c r="Q95" s="78">
        <v>18</v>
      </c>
      <c r="S95" s="88">
        <v>12</v>
      </c>
      <c r="U95" s="78">
        <v>0</v>
      </c>
      <c r="V95" s="78">
        <v>0</v>
      </c>
      <c r="W95" s="78">
        <v>12</v>
      </c>
      <c r="X95" s="78">
        <v>18</v>
      </c>
      <c r="Y95" s="78">
        <v>23</v>
      </c>
      <c r="Z95" s="78">
        <v>25</v>
      </c>
      <c r="AA95" s="78">
        <v>27</v>
      </c>
      <c r="AB95" s="78">
        <v>28</v>
      </c>
      <c r="AC95" s="78">
        <v>29</v>
      </c>
      <c r="AD95" s="78">
        <v>31</v>
      </c>
      <c r="AE95" s="78">
        <v>34</v>
      </c>
      <c r="AF95" s="78">
        <v>38</v>
      </c>
      <c r="AG95" s="78">
        <v>43</v>
      </c>
      <c r="AH95" s="78">
        <v>51</v>
      </c>
      <c r="AI95" s="78">
        <v>48</v>
      </c>
      <c r="AJ95" s="78">
        <v>30</v>
      </c>
    </row>
    <row r="96" spans="1:36">
      <c r="A96" s="2">
        <v>46042</v>
      </c>
      <c r="B96" t="s">
        <v>90</v>
      </c>
      <c r="C96">
        <v>64069</v>
      </c>
      <c r="D96">
        <v>1615</v>
      </c>
      <c r="E96" t="s">
        <v>140</v>
      </c>
      <c r="F96" t="s">
        <v>46</v>
      </c>
      <c r="G96" t="s">
        <v>57</v>
      </c>
      <c r="H96" t="s">
        <v>54</v>
      </c>
      <c r="J96" t="s">
        <v>50</v>
      </c>
      <c r="L96" s="78">
        <v>36</v>
      </c>
      <c r="M96">
        <v>232.05895565</v>
      </c>
      <c r="P96">
        <v>40.283203125</v>
      </c>
      <c r="Q96" s="78">
        <v>16</v>
      </c>
      <c r="S96" s="88">
        <v>16</v>
      </c>
      <c r="U96" s="78">
        <v>0</v>
      </c>
      <c r="V96" s="78">
        <v>16</v>
      </c>
      <c r="W96" s="78">
        <v>30</v>
      </c>
      <c r="X96" s="78">
        <v>36</v>
      </c>
      <c r="Y96" s="78">
        <v>28</v>
      </c>
      <c r="Z96" s="78">
        <v>20</v>
      </c>
      <c r="AA96" s="78">
        <v>11</v>
      </c>
      <c r="AB96" s="78">
        <v>5</v>
      </c>
      <c r="AC96" s="78">
        <v>1</v>
      </c>
      <c r="AD96" s="78">
        <v>1</v>
      </c>
      <c r="AE96" s="78">
        <v>1</v>
      </c>
      <c r="AF96" s="78">
        <v>1</v>
      </c>
      <c r="AG96" s="78">
        <v>1</v>
      </c>
      <c r="AH96" s="78">
        <v>1</v>
      </c>
      <c r="AI96" s="78">
        <v>1</v>
      </c>
      <c r="AJ96" s="78">
        <v>1</v>
      </c>
    </row>
    <row r="97" spans="1:36">
      <c r="A97" s="2">
        <v>46042</v>
      </c>
      <c r="B97" t="s">
        <v>90</v>
      </c>
      <c r="C97">
        <v>64069</v>
      </c>
      <c r="D97">
        <v>1616</v>
      </c>
      <c r="E97" t="s">
        <v>142</v>
      </c>
      <c r="F97" t="s">
        <v>46</v>
      </c>
      <c r="G97" t="s">
        <v>57</v>
      </c>
      <c r="H97" t="s">
        <v>54</v>
      </c>
      <c r="J97" t="s">
        <v>50</v>
      </c>
      <c r="L97" s="78">
        <v>37</v>
      </c>
      <c r="M97">
        <v>386.17727092000001</v>
      </c>
      <c r="P97">
        <v>88.5009765625</v>
      </c>
      <c r="Q97" s="78">
        <v>17</v>
      </c>
      <c r="S97" s="88">
        <v>2</v>
      </c>
      <c r="U97" s="78">
        <v>0</v>
      </c>
      <c r="V97" s="78">
        <v>2</v>
      </c>
      <c r="W97" s="78">
        <v>17</v>
      </c>
      <c r="X97" s="78">
        <v>22</v>
      </c>
      <c r="Y97" s="78">
        <v>25</v>
      </c>
      <c r="Z97" s="78">
        <v>27</v>
      </c>
      <c r="AA97" s="78">
        <v>29</v>
      </c>
      <c r="AB97" s="78">
        <v>31</v>
      </c>
      <c r="AC97" s="78">
        <v>34</v>
      </c>
      <c r="AD97" s="78">
        <v>37</v>
      </c>
      <c r="AE97" s="78">
        <v>35</v>
      </c>
      <c r="AF97" s="78">
        <v>8</v>
      </c>
      <c r="AG97" s="78">
        <v>2</v>
      </c>
      <c r="AH97" s="78">
        <v>1</v>
      </c>
      <c r="AI97" s="78">
        <v>1</v>
      </c>
      <c r="AJ97" s="78">
        <v>1</v>
      </c>
    </row>
    <row r="98" spans="1:36">
      <c r="A98" s="2">
        <v>46042</v>
      </c>
      <c r="B98" t="s">
        <v>90</v>
      </c>
      <c r="C98">
        <v>64069</v>
      </c>
      <c r="D98" s="19">
        <v>1617</v>
      </c>
      <c r="E98" t="s">
        <v>148</v>
      </c>
      <c r="F98" t="s">
        <v>46</v>
      </c>
      <c r="G98" t="s">
        <v>57</v>
      </c>
      <c r="H98" t="s">
        <v>54</v>
      </c>
      <c r="J98" t="s">
        <v>50</v>
      </c>
      <c r="L98" s="89" t="s">
        <v>59</v>
      </c>
      <c r="M98">
        <v>151.89374348000001</v>
      </c>
      <c r="P98">
        <v>34.7900390625</v>
      </c>
      <c r="Q98" s="78" t="s">
        <v>59</v>
      </c>
      <c r="S98" s="89" t="s">
        <v>59</v>
      </c>
      <c r="U98" s="78" t="s">
        <v>59</v>
      </c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</row>
    <row r="99" spans="1:36">
      <c r="A99" s="2">
        <v>46042</v>
      </c>
      <c r="B99" t="s">
        <v>90</v>
      </c>
      <c r="C99">
        <v>64070</v>
      </c>
      <c r="D99" s="19">
        <v>1618</v>
      </c>
      <c r="E99" t="s">
        <v>184</v>
      </c>
      <c r="F99" t="s">
        <v>46</v>
      </c>
      <c r="G99" t="s">
        <v>57</v>
      </c>
      <c r="H99" t="s">
        <v>54</v>
      </c>
      <c r="I99" t="s">
        <v>185</v>
      </c>
      <c r="J99" t="s">
        <v>50</v>
      </c>
      <c r="L99" s="78">
        <v>8</v>
      </c>
      <c r="M99">
        <v>514.80604173000006</v>
      </c>
      <c r="P99">
        <v>62.255859375</v>
      </c>
      <c r="Q99" s="78">
        <v>5</v>
      </c>
      <c r="S99" s="88">
        <v>1</v>
      </c>
      <c r="U99" s="78">
        <v>0</v>
      </c>
      <c r="V99" s="78">
        <v>1</v>
      </c>
      <c r="W99" s="78">
        <v>5</v>
      </c>
      <c r="X99" s="78">
        <v>7</v>
      </c>
      <c r="Y99" s="78">
        <v>8</v>
      </c>
      <c r="Z99" s="78">
        <v>8</v>
      </c>
      <c r="AA99" s="78">
        <v>6</v>
      </c>
      <c r="AB99" s="78">
        <v>8</v>
      </c>
      <c r="AC99" s="78">
        <v>5</v>
      </c>
      <c r="AD99" s="78">
        <v>4</v>
      </c>
      <c r="AE99" s="78">
        <v>2</v>
      </c>
      <c r="AF99" s="78">
        <v>1</v>
      </c>
      <c r="AG99" s="78">
        <v>1</v>
      </c>
      <c r="AH99" s="78">
        <v>1</v>
      </c>
      <c r="AI99" s="78">
        <v>1</v>
      </c>
      <c r="AJ99" s="78">
        <v>1</v>
      </c>
    </row>
    <row r="100" spans="1:36">
      <c r="A100" s="2">
        <v>46042</v>
      </c>
      <c r="B100" t="s">
        <v>90</v>
      </c>
      <c r="C100">
        <v>64070</v>
      </c>
      <c r="D100">
        <v>1619</v>
      </c>
      <c r="E100" t="s">
        <v>186</v>
      </c>
      <c r="F100" t="s">
        <v>46</v>
      </c>
      <c r="G100" t="s">
        <v>57</v>
      </c>
      <c r="H100" t="s">
        <v>48</v>
      </c>
      <c r="I100" t="s">
        <v>187</v>
      </c>
      <c r="J100" t="s">
        <v>50</v>
      </c>
      <c r="L100" s="78">
        <v>27</v>
      </c>
      <c r="M100">
        <v>978.66017868799997</v>
      </c>
      <c r="P100">
        <v>161.1328125</v>
      </c>
      <c r="Q100" s="78">
        <v>11</v>
      </c>
      <c r="S100" s="88">
        <v>3</v>
      </c>
      <c r="U100" s="78">
        <v>0</v>
      </c>
      <c r="V100" s="78">
        <v>0</v>
      </c>
      <c r="W100" s="78">
        <v>0</v>
      </c>
      <c r="X100" s="78">
        <v>3</v>
      </c>
      <c r="Y100" s="78">
        <v>11</v>
      </c>
      <c r="Z100" s="78">
        <v>16</v>
      </c>
      <c r="AA100" s="78">
        <v>20</v>
      </c>
      <c r="AB100" s="78">
        <v>22</v>
      </c>
      <c r="AC100" s="78">
        <v>23</v>
      </c>
      <c r="AD100" s="78">
        <v>24</v>
      </c>
      <c r="AE100" s="78">
        <v>25</v>
      </c>
      <c r="AF100" s="78">
        <v>26</v>
      </c>
      <c r="AG100" s="78">
        <v>26</v>
      </c>
      <c r="AH100" s="78">
        <v>27</v>
      </c>
      <c r="AI100" s="78">
        <v>27</v>
      </c>
      <c r="AJ100" s="78">
        <v>27</v>
      </c>
    </row>
    <row r="101" spans="1:36">
      <c r="A101" s="2">
        <v>46043</v>
      </c>
      <c r="B101" t="s">
        <v>90</v>
      </c>
      <c r="C101">
        <v>64290</v>
      </c>
      <c r="D101">
        <v>1620</v>
      </c>
      <c r="E101" t="s">
        <v>188</v>
      </c>
      <c r="F101" t="s">
        <v>46</v>
      </c>
      <c r="G101" t="s">
        <v>47</v>
      </c>
      <c r="H101" t="s">
        <v>48</v>
      </c>
      <c r="J101" t="s">
        <v>50</v>
      </c>
      <c r="L101" s="78">
        <v>27</v>
      </c>
      <c r="M101">
        <v>1211.11464301</v>
      </c>
      <c r="P101">
        <v>295.41015625</v>
      </c>
      <c r="Q101" s="78">
        <v>20</v>
      </c>
      <c r="S101" s="88">
        <v>3</v>
      </c>
      <c r="U101" s="78">
        <v>0</v>
      </c>
      <c r="V101" s="78">
        <v>0</v>
      </c>
      <c r="W101" s="78">
        <v>0</v>
      </c>
      <c r="X101" s="78">
        <v>3</v>
      </c>
      <c r="Y101" s="78">
        <v>11</v>
      </c>
      <c r="Z101" s="78">
        <v>16</v>
      </c>
      <c r="AA101" s="78">
        <v>20</v>
      </c>
      <c r="AB101" s="78">
        <v>22</v>
      </c>
      <c r="AC101" s="78">
        <v>23</v>
      </c>
      <c r="AD101" s="78">
        <v>24</v>
      </c>
      <c r="AE101" s="78">
        <v>25</v>
      </c>
      <c r="AF101" s="78">
        <v>26</v>
      </c>
      <c r="AG101" s="78">
        <v>26</v>
      </c>
      <c r="AH101" s="78">
        <v>27</v>
      </c>
      <c r="AI101" s="78">
        <v>27</v>
      </c>
      <c r="AJ101" s="78">
        <v>27</v>
      </c>
    </row>
    <row r="102" spans="1:36">
      <c r="A102" s="2">
        <v>46043</v>
      </c>
      <c r="B102" t="s">
        <v>44</v>
      </c>
      <c r="C102">
        <v>64290</v>
      </c>
      <c r="D102">
        <v>1621</v>
      </c>
      <c r="E102" t="s">
        <v>189</v>
      </c>
      <c r="F102" t="s">
        <v>46</v>
      </c>
      <c r="G102" t="s">
        <v>47</v>
      </c>
      <c r="H102" t="s">
        <v>48</v>
      </c>
      <c r="I102" t="s">
        <v>190</v>
      </c>
      <c r="J102" t="s">
        <v>50</v>
      </c>
      <c r="L102" s="78">
        <v>19</v>
      </c>
      <c r="M102">
        <v>1693.20795471</v>
      </c>
      <c r="P102">
        <v>342.4072265625</v>
      </c>
      <c r="Q102" s="78">
        <v>3</v>
      </c>
      <c r="S102" s="88">
        <v>3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3</v>
      </c>
      <c r="AC102" s="78">
        <v>7</v>
      </c>
      <c r="AD102" s="78">
        <v>9</v>
      </c>
      <c r="AE102" s="78">
        <v>11</v>
      </c>
      <c r="AF102" s="78">
        <v>16</v>
      </c>
      <c r="AG102" s="78">
        <v>16</v>
      </c>
      <c r="AH102" s="78">
        <v>18</v>
      </c>
      <c r="AI102" s="78">
        <v>19</v>
      </c>
      <c r="AJ102" s="78">
        <v>18</v>
      </c>
    </row>
    <row r="103" spans="1:36">
      <c r="A103" s="2">
        <v>46043</v>
      </c>
      <c r="B103" t="s">
        <v>90</v>
      </c>
      <c r="C103">
        <v>64290</v>
      </c>
      <c r="D103" s="19">
        <v>1622</v>
      </c>
      <c r="E103" t="s">
        <v>191</v>
      </c>
      <c r="F103" t="s">
        <v>46</v>
      </c>
      <c r="G103" t="s">
        <v>47</v>
      </c>
      <c r="H103" t="s">
        <v>48</v>
      </c>
      <c r="J103" t="s">
        <v>50</v>
      </c>
      <c r="L103" s="78">
        <v>27</v>
      </c>
      <c r="M103">
        <v>412.37576300000001</v>
      </c>
      <c r="P103">
        <v>64.697265625</v>
      </c>
      <c r="Q103" s="78">
        <v>4</v>
      </c>
      <c r="S103" s="88">
        <v>2</v>
      </c>
      <c r="U103" s="78">
        <v>0</v>
      </c>
      <c r="V103" s="78">
        <v>2</v>
      </c>
      <c r="W103" s="78">
        <v>4</v>
      </c>
      <c r="X103" s="78">
        <v>8</v>
      </c>
      <c r="Y103" s="78">
        <v>14</v>
      </c>
      <c r="Z103" s="78">
        <v>16</v>
      </c>
      <c r="AA103" s="78">
        <v>19</v>
      </c>
      <c r="AB103" s="78">
        <v>23</v>
      </c>
      <c r="AC103" s="78">
        <v>27</v>
      </c>
      <c r="AD103" s="78">
        <v>20</v>
      </c>
      <c r="AE103" s="78">
        <v>26</v>
      </c>
      <c r="AF103" s="78">
        <v>15</v>
      </c>
      <c r="AG103" s="78">
        <v>10</v>
      </c>
      <c r="AH103" s="78">
        <v>6</v>
      </c>
      <c r="AI103" s="78">
        <v>4</v>
      </c>
      <c r="AJ103" s="78">
        <v>3</v>
      </c>
    </row>
    <row r="104" spans="1:36">
      <c r="A104" s="2">
        <v>46043</v>
      </c>
      <c r="B104" t="s">
        <v>44</v>
      </c>
      <c r="C104">
        <v>64290</v>
      </c>
      <c r="D104">
        <v>1623</v>
      </c>
      <c r="E104" t="s">
        <v>107</v>
      </c>
      <c r="F104" t="s">
        <v>46</v>
      </c>
      <c r="G104" t="s">
        <v>47</v>
      </c>
      <c r="H104" t="s">
        <v>48</v>
      </c>
      <c r="I104" t="s">
        <v>192</v>
      </c>
      <c r="J104" t="s">
        <v>50</v>
      </c>
      <c r="L104" s="78">
        <v>48</v>
      </c>
      <c r="M104">
        <v>657.60982509999997</v>
      </c>
      <c r="P104">
        <v>160.5224609375</v>
      </c>
      <c r="Q104" s="78">
        <v>14</v>
      </c>
      <c r="S104" s="88">
        <v>3</v>
      </c>
      <c r="U104" s="78">
        <v>0</v>
      </c>
      <c r="V104" s="78">
        <v>0</v>
      </c>
      <c r="W104" s="78">
        <v>0</v>
      </c>
      <c r="X104" s="78">
        <v>3</v>
      </c>
      <c r="Y104" s="78">
        <v>14</v>
      </c>
      <c r="Z104" s="78">
        <v>19</v>
      </c>
      <c r="AA104" s="78">
        <v>23</v>
      </c>
      <c r="AB104" s="78">
        <v>26</v>
      </c>
      <c r="AC104" s="78">
        <v>29</v>
      </c>
      <c r="AD104" s="78">
        <v>31</v>
      </c>
      <c r="AE104" s="78">
        <v>33</v>
      </c>
      <c r="AF104" s="78">
        <v>38</v>
      </c>
      <c r="AG104" s="78">
        <v>45</v>
      </c>
      <c r="AH104" s="78">
        <v>48</v>
      </c>
      <c r="AI104" s="78">
        <v>33</v>
      </c>
      <c r="AJ104" s="78">
        <v>7</v>
      </c>
    </row>
    <row r="105" spans="1:36">
      <c r="A105" s="2">
        <v>46043</v>
      </c>
      <c r="B105" t="s">
        <v>44</v>
      </c>
      <c r="C105">
        <v>64290</v>
      </c>
      <c r="D105">
        <v>1624</v>
      </c>
      <c r="E105" t="s">
        <v>116</v>
      </c>
      <c r="F105" t="s">
        <v>46</v>
      </c>
      <c r="G105" t="s">
        <v>47</v>
      </c>
      <c r="H105" t="s">
        <v>48</v>
      </c>
      <c r="I105" t="s">
        <v>193</v>
      </c>
      <c r="J105" t="s">
        <v>50</v>
      </c>
      <c r="L105" s="78">
        <v>27</v>
      </c>
      <c r="M105">
        <v>758.6679076800001</v>
      </c>
      <c r="P105">
        <v>180.6640625</v>
      </c>
      <c r="Q105" s="78">
        <v>3</v>
      </c>
      <c r="S105" s="88">
        <v>3</v>
      </c>
      <c r="U105" s="78">
        <v>0</v>
      </c>
      <c r="V105" s="78">
        <v>0</v>
      </c>
      <c r="W105" s="78">
        <v>0</v>
      </c>
      <c r="X105" s="78">
        <v>0</v>
      </c>
      <c r="Y105" s="78">
        <v>3</v>
      </c>
      <c r="Z105" s="78">
        <v>9</v>
      </c>
      <c r="AA105" s="78">
        <v>13</v>
      </c>
      <c r="AB105" s="78">
        <v>18</v>
      </c>
      <c r="AC105" s="78">
        <v>21</v>
      </c>
      <c r="AD105" s="78">
        <v>22</v>
      </c>
      <c r="AE105" s="78">
        <v>23</v>
      </c>
      <c r="AF105" s="78">
        <v>27</v>
      </c>
      <c r="AG105" s="78">
        <v>24</v>
      </c>
      <c r="AH105" s="78">
        <v>22</v>
      </c>
      <c r="AI105" s="78">
        <v>20</v>
      </c>
      <c r="AJ105" s="78">
        <v>19</v>
      </c>
    </row>
    <row r="106" spans="1:36">
      <c r="A106" s="2">
        <v>46043</v>
      </c>
      <c r="B106" t="s">
        <v>90</v>
      </c>
      <c r="C106">
        <v>64291</v>
      </c>
      <c r="D106" s="19">
        <v>1625</v>
      </c>
      <c r="E106" t="s">
        <v>194</v>
      </c>
      <c r="F106" t="s">
        <v>46</v>
      </c>
      <c r="G106" t="s">
        <v>47</v>
      </c>
      <c r="H106" t="s">
        <v>54</v>
      </c>
      <c r="J106" t="s">
        <v>50</v>
      </c>
      <c r="L106" s="78">
        <v>1</v>
      </c>
      <c r="M106">
        <v>386.55433556500003</v>
      </c>
      <c r="P106" s="4"/>
      <c r="Q106" s="4"/>
      <c r="S106" s="88">
        <v>1</v>
      </c>
      <c r="U106" s="78">
        <v>0</v>
      </c>
      <c r="V106" s="78">
        <v>0</v>
      </c>
      <c r="W106" s="78">
        <v>1</v>
      </c>
      <c r="X106" s="78">
        <v>1</v>
      </c>
      <c r="Y106" s="78">
        <v>1</v>
      </c>
      <c r="Z106" s="78">
        <v>1</v>
      </c>
      <c r="AA106" s="78">
        <v>1</v>
      </c>
      <c r="AB106" s="78">
        <v>1</v>
      </c>
      <c r="AC106" s="78">
        <v>1</v>
      </c>
      <c r="AD106" s="78">
        <v>1</v>
      </c>
      <c r="AE106" s="78">
        <v>1</v>
      </c>
      <c r="AF106" s="78">
        <v>1</v>
      </c>
      <c r="AG106" s="78">
        <v>1</v>
      </c>
      <c r="AH106" s="78">
        <v>1</v>
      </c>
      <c r="AI106" s="78">
        <v>1</v>
      </c>
      <c r="AJ106" s="78">
        <v>1</v>
      </c>
    </row>
    <row r="107" spans="1:36">
      <c r="A107" s="2">
        <v>46043</v>
      </c>
      <c r="B107" t="s">
        <v>44</v>
      </c>
      <c r="C107">
        <v>64291</v>
      </c>
      <c r="D107">
        <v>1626</v>
      </c>
      <c r="E107" t="s">
        <v>117</v>
      </c>
      <c r="F107" t="s">
        <v>46</v>
      </c>
      <c r="G107" t="s">
        <v>47</v>
      </c>
      <c r="H107" t="s">
        <v>54</v>
      </c>
      <c r="I107" t="s">
        <v>195</v>
      </c>
      <c r="J107" t="s">
        <v>50</v>
      </c>
      <c r="L107" s="78">
        <v>21</v>
      </c>
      <c r="M107">
        <v>1263.9283062</v>
      </c>
      <c r="P107">
        <v>236.2060546875</v>
      </c>
      <c r="Q107" s="78">
        <v>3</v>
      </c>
      <c r="S107" s="88">
        <v>3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3</v>
      </c>
      <c r="AA107" s="78">
        <v>8</v>
      </c>
      <c r="AB107" s="78">
        <v>11</v>
      </c>
      <c r="AC107" s="78">
        <v>14</v>
      </c>
      <c r="AD107" s="78">
        <v>16</v>
      </c>
      <c r="AE107" s="78">
        <v>18</v>
      </c>
      <c r="AF107" s="78">
        <v>21</v>
      </c>
      <c r="AG107" s="78">
        <v>21</v>
      </c>
      <c r="AH107" s="78">
        <v>21</v>
      </c>
      <c r="AI107" s="78">
        <v>16</v>
      </c>
      <c r="AJ107" s="78">
        <v>15</v>
      </c>
    </row>
    <row r="108" spans="1:36">
      <c r="A108" s="2">
        <v>46043</v>
      </c>
      <c r="B108" t="s">
        <v>90</v>
      </c>
      <c r="C108">
        <v>64291</v>
      </c>
      <c r="D108">
        <v>1627</v>
      </c>
      <c r="E108" t="s">
        <v>196</v>
      </c>
      <c r="F108" t="s">
        <v>46</v>
      </c>
      <c r="G108" t="s">
        <v>47</v>
      </c>
      <c r="H108" t="s">
        <v>54</v>
      </c>
      <c r="J108" t="s">
        <v>50</v>
      </c>
      <c r="L108" s="78">
        <v>15</v>
      </c>
      <c r="M108">
        <v>309.06274411999999</v>
      </c>
      <c r="P108">
        <v>41.50390625</v>
      </c>
      <c r="Q108" s="78">
        <v>10</v>
      </c>
      <c r="S108" s="88">
        <v>10</v>
      </c>
      <c r="U108" s="78">
        <v>0</v>
      </c>
      <c r="V108" s="78">
        <v>10</v>
      </c>
      <c r="W108" s="78">
        <v>15</v>
      </c>
      <c r="X108" s="78">
        <v>15</v>
      </c>
      <c r="Y108" s="78">
        <v>15</v>
      </c>
      <c r="Z108" s="78">
        <v>1</v>
      </c>
      <c r="AA108" s="78">
        <v>1</v>
      </c>
      <c r="AB108" s="78">
        <v>1</v>
      </c>
      <c r="AC108" s="78">
        <v>1</v>
      </c>
      <c r="AD108" s="78">
        <v>1</v>
      </c>
      <c r="AE108" s="78">
        <v>1</v>
      </c>
      <c r="AF108" s="78">
        <v>1</v>
      </c>
      <c r="AG108" s="78">
        <v>1</v>
      </c>
      <c r="AH108" s="78">
        <v>1</v>
      </c>
      <c r="AI108" s="78">
        <v>1</v>
      </c>
      <c r="AJ108" s="78">
        <v>1</v>
      </c>
    </row>
    <row r="109" spans="1:36">
      <c r="A109" s="2">
        <v>46044</v>
      </c>
      <c r="B109" t="s">
        <v>44</v>
      </c>
      <c r="C109">
        <v>64282</v>
      </c>
      <c r="D109">
        <v>1628</v>
      </c>
      <c r="E109" t="s">
        <v>197</v>
      </c>
      <c r="F109" t="s">
        <v>65</v>
      </c>
      <c r="G109" t="s">
        <v>57</v>
      </c>
      <c r="H109" t="s">
        <v>54</v>
      </c>
      <c r="I109" t="s">
        <v>198</v>
      </c>
      <c r="J109" t="s">
        <v>50</v>
      </c>
      <c r="L109" s="78">
        <v>39</v>
      </c>
      <c r="M109">
        <v>253.18832400000002</v>
      </c>
      <c r="P109">
        <v>111.083984375</v>
      </c>
      <c r="Q109" s="78">
        <v>16</v>
      </c>
      <c r="S109" s="88">
        <v>3</v>
      </c>
      <c r="U109" s="78">
        <v>0</v>
      </c>
      <c r="V109" s="78">
        <v>0</v>
      </c>
      <c r="W109" s="78">
        <v>3</v>
      </c>
      <c r="X109" s="78">
        <v>16</v>
      </c>
      <c r="Y109" s="78">
        <v>27</v>
      </c>
      <c r="Z109" s="78">
        <v>31</v>
      </c>
      <c r="AA109" s="78">
        <v>36</v>
      </c>
      <c r="AB109" s="78">
        <v>39</v>
      </c>
      <c r="AC109" s="78">
        <v>33</v>
      </c>
      <c r="AD109" s="78">
        <v>38</v>
      </c>
      <c r="AE109" s="78">
        <v>29</v>
      </c>
      <c r="AF109" s="78">
        <v>10</v>
      </c>
      <c r="AG109" s="78">
        <v>7</v>
      </c>
      <c r="AH109" s="78">
        <v>3</v>
      </c>
      <c r="AI109" s="78">
        <v>2</v>
      </c>
      <c r="AJ109" s="78">
        <v>1</v>
      </c>
    </row>
    <row r="110" spans="1:36">
      <c r="A110" s="2">
        <v>46044</v>
      </c>
      <c r="B110" t="s">
        <v>90</v>
      </c>
      <c r="C110">
        <v>64282</v>
      </c>
      <c r="D110" s="19">
        <v>1629</v>
      </c>
      <c r="E110" t="s">
        <v>199</v>
      </c>
      <c r="F110" t="s">
        <v>65</v>
      </c>
      <c r="G110" t="s">
        <v>57</v>
      </c>
      <c r="H110" t="s">
        <v>54</v>
      </c>
      <c r="J110" t="s">
        <v>50</v>
      </c>
      <c r="L110" s="78">
        <v>240</v>
      </c>
      <c r="M110">
        <v>231.58365636000002</v>
      </c>
      <c r="P110">
        <v>86.669921875</v>
      </c>
      <c r="Q110" s="78">
        <v>3</v>
      </c>
      <c r="S110" s="88">
        <v>3</v>
      </c>
      <c r="U110" s="78">
        <v>0</v>
      </c>
      <c r="V110" s="78">
        <v>0</v>
      </c>
      <c r="W110" s="78">
        <v>3</v>
      </c>
      <c r="X110" s="78">
        <v>95</v>
      </c>
      <c r="Y110" s="78">
        <v>127</v>
      </c>
      <c r="Z110" s="78">
        <v>156</v>
      </c>
      <c r="AA110" s="78">
        <v>178</v>
      </c>
      <c r="AB110" s="78">
        <v>202</v>
      </c>
      <c r="AC110" s="78">
        <v>215</v>
      </c>
      <c r="AD110" s="78">
        <v>227</v>
      </c>
      <c r="AE110" s="78">
        <v>235</v>
      </c>
      <c r="AF110" s="78">
        <v>240</v>
      </c>
      <c r="AG110" s="78">
        <v>160</v>
      </c>
      <c r="AH110" s="78">
        <v>81</v>
      </c>
      <c r="AI110" s="78">
        <v>45</v>
      </c>
      <c r="AJ110" s="78">
        <v>22</v>
      </c>
    </row>
    <row r="111" spans="1:36">
      <c r="A111" s="2">
        <v>46044</v>
      </c>
      <c r="B111" t="s">
        <v>90</v>
      </c>
      <c r="C111">
        <v>64283</v>
      </c>
      <c r="D111">
        <v>1630</v>
      </c>
      <c r="E111" t="s">
        <v>201</v>
      </c>
      <c r="F111" t="s">
        <v>65</v>
      </c>
      <c r="G111" t="s">
        <v>57</v>
      </c>
      <c r="H111" t="s">
        <v>48</v>
      </c>
      <c r="I111" t="s">
        <v>202</v>
      </c>
      <c r="J111" t="s">
        <v>50</v>
      </c>
      <c r="L111" s="78">
        <v>33</v>
      </c>
      <c r="M111">
        <v>772.52470015999995</v>
      </c>
      <c r="P111">
        <v>188.5986328125</v>
      </c>
      <c r="Q111" s="78">
        <v>2</v>
      </c>
      <c r="S111" s="88">
        <v>2</v>
      </c>
      <c r="U111" s="78">
        <v>0</v>
      </c>
      <c r="V111" s="78">
        <v>0</v>
      </c>
      <c r="W111" s="78">
        <v>0</v>
      </c>
      <c r="X111" s="78">
        <v>0</v>
      </c>
      <c r="Y111" s="78">
        <v>2</v>
      </c>
      <c r="Z111" s="78">
        <v>8</v>
      </c>
      <c r="AA111" s="78">
        <v>14</v>
      </c>
      <c r="AB111" s="78">
        <v>19</v>
      </c>
      <c r="AC111" s="78">
        <v>22</v>
      </c>
      <c r="AD111" s="78">
        <v>25</v>
      </c>
      <c r="AE111" s="78">
        <v>29</v>
      </c>
      <c r="AF111" s="78">
        <v>32</v>
      </c>
      <c r="AG111" s="78">
        <v>32</v>
      </c>
      <c r="AH111" s="78">
        <v>33</v>
      </c>
      <c r="AI111" s="78">
        <v>33</v>
      </c>
      <c r="AJ111" s="78">
        <v>30</v>
      </c>
    </row>
    <row r="112" spans="1:36">
      <c r="A112" s="2">
        <v>46044</v>
      </c>
      <c r="B112" t="s">
        <v>90</v>
      </c>
      <c r="C112">
        <v>64283</v>
      </c>
      <c r="D112">
        <v>1631</v>
      </c>
      <c r="E112" t="s">
        <v>203</v>
      </c>
      <c r="F112" t="s">
        <v>65</v>
      </c>
      <c r="G112" t="s">
        <v>57</v>
      </c>
      <c r="H112" t="s">
        <v>48</v>
      </c>
      <c r="I112" t="s">
        <v>204</v>
      </c>
      <c r="J112" t="s">
        <v>50</v>
      </c>
      <c r="L112" s="78">
        <v>15</v>
      </c>
      <c r="M112">
        <v>382.33278658</v>
      </c>
      <c r="P112">
        <v>73.2421875</v>
      </c>
      <c r="Q112" s="78">
        <v>7</v>
      </c>
      <c r="S112" s="88">
        <v>7</v>
      </c>
      <c r="U112" s="78">
        <v>0</v>
      </c>
      <c r="V112" s="78">
        <v>0</v>
      </c>
      <c r="W112" s="78">
        <v>7</v>
      </c>
      <c r="X112" s="78">
        <v>14</v>
      </c>
      <c r="Y112" s="78">
        <v>15</v>
      </c>
      <c r="Z112" s="78">
        <v>14</v>
      </c>
      <c r="AA112" s="78">
        <v>12</v>
      </c>
      <c r="AB112" s="78">
        <v>10</v>
      </c>
      <c r="AC112" s="78">
        <v>10</v>
      </c>
      <c r="AD112" s="78">
        <v>8</v>
      </c>
      <c r="AE112" s="78">
        <v>8</v>
      </c>
      <c r="AF112" s="78">
        <v>2</v>
      </c>
      <c r="AG112" s="78">
        <v>2</v>
      </c>
      <c r="AH112" s="78">
        <v>2</v>
      </c>
      <c r="AI112" s="78">
        <v>1</v>
      </c>
      <c r="AJ112" s="78">
        <v>1</v>
      </c>
    </row>
    <row r="113" spans="1:36">
      <c r="A113" s="2">
        <v>46044</v>
      </c>
      <c r="B113" t="s">
        <v>90</v>
      </c>
      <c r="C113">
        <v>64283</v>
      </c>
      <c r="D113">
        <v>1632</v>
      </c>
      <c r="E113" t="s">
        <v>205</v>
      </c>
      <c r="F113" t="s">
        <v>65</v>
      </c>
      <c r="G113" t="s">
        <v>57</v>
      </c>
      <c r="H113" t="s">
        <v>48</v>
      </c>
      <c r="I113" t="s">
        <v>206</v>
      </c>
      <c r="J113" t="s">
        <v>50</v>
      </c>
      <c r="L113" s="78">
        <v>16</v>
      </c>
      <c r="M113">
        <v>746.9205627</v>
      </c>
      <c r="P113">
        <v>137.3291015625</v>
      </c>
      <c r="Q113" s="78">
        <v>6</v>
      </c>
      <c r="S113" s="88">
        <v>6</v>
      </c>
      <c r="U113" s="78">
        <v>0</v>
      </c>
      <c r="V113" s="78">
        <v>0</v>
      </c>
      <c r="W113" s="78">
        <v>6</v>
      </c>
      <c r="X113" s="78">
        <v>6</v>
      </c>
      <c r="Y113" s="78">
        <v>10</v>
      </c>
      <c r="Z113" s="78">
        <v>13</v>
      </c>
      <c r="AA113" s="78">
        <v>15</v>
      </c>
      <c r="AB113" s="78">
        <v>16</v>
      </c>
      <c r="AC113" s="78">
        <v>16</v>
      </c>
      <c r="AD113" s="78">
        <v>14</v>
      </c>
      <c r="AE113" s="78">
        <v>16</v>
      </c>
      <c r="AF113" s="78">
        <v>16</v>
      </c>
      <c r="AG113" s="78">
        <v>2</v>
      </c>
      <c r="AH113" s="78">
        <v>2</v>
      </c>
      <c r="AI113" s="78">
        <v>2</v>
      </c>
      <c r="AJ113" s="78">
        <v>2</v>
      </c>
    </row>
    <row r="114" spans="1:36">
      <c r="A114" s="2">
        <v>46045</v>
      </c>
      <c r="B114" t="s">
        <v>69</v>
      </c>
      <c r="C114">
        <v>64292</v>
      </c>
      <c r="D114" s="19">
        <v>1633</v>
      </c>
      <c r="E114" t="s">
        <v>207</v>
      </c>
      <c r="F114" t="s">
        <v>46</v>
      </c>
      <c r="G114" t="s">
        <v>57</v>
      </c>
      <c r="H114" t="s">
        <v>54</v>
      </c>
      <c r="I114" t="s">
        <v>208</v>
      </c>
      <c r="J114" t="s">
        <v>50</v>
      </c>
      <c r="L114" s="78">
        <v>4</v>
      </c>
      <c r="M114">
        <v>202.64997096000002</v>
      </c>
      <c r="P114">
        <v>23.193359375</v>
      </c>
      <c r="Q114" s="78">
        <v>0</v>
      </c>
      <c r="S114" s="88">
        <v>1</v>
      </c>
      <c r="U114" s="78">
        <v>0</v>
      </c>
      <c r="V114" s="78">
        <v>0</v>
      </c>
      <c r="W114" s="78">
        <v>0</v>
      </c>
      <c r="X114" s="78">
        <v>1</v>
      </c>
      <c r="Y114" s="78">
        <v>2</v>
      </c>
      <c r="Z114" s="78">
        <v>3</v>
      </c>
      <c r="AA114" s="78">
        <v>3</v>
      </c>
      <c r="AB114" s="78">
        <v>3</v>
      </c>
      <c r="AC114" s="78">
        <v>4</v>
      </c>
      <c r="AD114" s="78">
        <v>3</v>
      </c>
      <c r="AE114" s="78">
        <v>3</v>
      </c>
      <c r="AF114" s="78">
        <v>3</v>
      </c>
      <c r="AG114" s="78">
        <v>2</v>
      </c>
      <c r="AH114" s="78">
        <v>2</v>
      </c>
      <c r="AI114" s="78">
        <v>2</v>
      </c>
      <c r="AJ114" s="78">
        <v>2</v>
      </c>
    </row>
    <row r="115" spans="1:36">
      <c r="A115" s="2">
        <v>46045</v>
      </c>
      <c r="B115" t="s">
        <v>90</v>
      </c>
      <c r="C115">
        <v>64293</v>
      </c>
      <c r="D115">
        <v>1634</v>
      </c>
      <c r="E115" t="s">
        <v>210</v>
      </c>
      <c r="F115" t="s">
        <v>46</v>
      </c>
      <c r="G115" t="s">
        <v>57</v>
      </c>
      <c r="H115" t="s">
        <v>48</v>
      </c>
      <c r="J115" t="s">
        <v>50</v>
      </c>
      <c r="L115" s="78">
        <v>21</v>
      </c>
      <c r="M115">
        <v>515.35765458000003</v>
      </c>
      <c r="P115">
        <v>114.74609375</v>
      </c>
      <c r="Q115" s="78">
        <v>6</v>
      </c>
      <c r="S115" s="88">
        <v>2</v>
      </c>
      <c r="U115" s="78">
        <v>0</v>
      </c>
      <c r="V115" s="78">
        <v>0</v>
      </c>
      <c r="W115" s="78">
        <v>2</v>
      </c>
      <c r="X115" s="78">
        <v>6</v>
      </c>
      <c r="Y115" s="78">
        <v>11</v>
      </c>
      <c r="Z115" s="78">
        <v>14</v>
      </c>
      <c r="AA115" s="78">
        <v>19</v>
      </c>
      <c r="AB115" s="78">
        <v>21</v>
      </c>
      <c r="AC115" s="78">
        <v>19</v>
      </c>
      <c r="AD115" s="78">
        <v>20</v>
      </c>
      <c r="AE115" s="78">
        <v>16</v>
      </c>
      <c r="AF115" s="78">
        <v>15</v>
      </c>
      <c r="AG115" s="78">
        <v>15</v>
      </c>
      <c r="AH115" s="78">
        <v>13</v>
      </c>
      <c r="AI115" s="78">
        <v>2</v>
      </c>
      <c r="AJ115" s="78">
        <v>1</v>
      </c>
    </row>
    <row r="116" spans="1:36">
      <c r="A116" s="2">
        <v>46045</v>
      </c>
      <c r="B116" t="s">
        <v>90</v>
      </c>
      <c r="C116">
        <v>64293</v>
      </c>
      <c r="D116">
        <v>1635</v>
      </c>
      <c r="E116" t="s">
        <v>211</v>
      </c>
      <c r="F116" t="s">
        <v>46</v>
      </c>
      <c r="G116" t="s">
        <v>57</v>
      </c>
      <c r="H116" t="s">
        <v>48</v>
      </c>
      <c r="I116" t="s">
        <v>212</v>
      </c>
      <c r="J116" t="s">
        <v>50</v>
      </c>
      <c r="L116" s="78">
        <v>22</v>
      </c>
      <c r="M116">
        <v>463.23626708</v>
      </c>
      <c r="P116" s="4"/>
      <c r="Q116" s="4"/>
      <c r="S116" s="88">
        <v>1</v>
      </c>
      <c r="U116" s="78">
        <v>0</v>
      </c>
      <c r="V116" s="78">
        <v>0</v>
      </c>
      <c r="W116" s="78">
        <v>0</v>
      </c>
      <c r="X116" s="78">
        <v>1</v>
      </c>
      <c r="Y116" s="78">
        <v>1</v>
      </c>
      <c r="Z116" s="78">
        <v>9</v>
      </c>
      <c r="AA116" s="78">
        <v>3</v>
      </c>
      <c r="AB116" s="78">
        <v>17</v>
      </c>
      <c r="AC116" s="78">
        <v>19</v>
      </c>
      <c r="AD116" s="78">
        <v>22</v>
      </c>
      <c r="AE116" s="78">
        <v>19</v>
      </c>
      <c r="AF116" s="78">
        <v>22</v>
      </c>
      <c r="AG116" s="78">
        <v>16</v>
      </c>
      <c r="AH116" s="78">
        <v>10</v>
      </c>
      <c r="AI116" s="78">
        <v>7</v>
      </c>
      <c r="AJ116" s="78">
        <v>5</v>
      </c>
    </row>
    <row r="117" spans="1:36">
      <c r="A117" s="2">
        <v>46049</v>
      </c>
      <c r="B117" t="s">
        <v>90</v>
      </c>
      <c r="C117">
        <v>64284</v>
      </c>
      <c r="D117">
        <v>1636</v>
      </c>
      <c r="E117" t="s">
        <v>140</v>
      </c>
      <c r="F117" t="s">
        <v>65</v>
      </c>
      <c r="G117" t="s">
        <v>57</v>
      </c>
      <c r="H117" t="s">
        <v>54</v>
      </c>
      <c r="J117" t="s">
        <v>50</v>
      </c>
      <c r="L117">
        <v>34</v>
      </c>
      <c r="M117">
        <v>359.95476531999998</v>
      </c>
      <c r="P117">
        <v>103.1494140625</v>
      </c>
      <c r="Q117">
        <v>14</v>
      </c>
      <c r="S117" s="88">
        <v>2</v>
      </c>
      <c r="U117">
        <v>0</v>
      </c>
      <c r="V117">
        <v>0</v>
      </c>
      <c r="W117">
        <v>2</v>
      </c>
      <c r="X117">
        <v>14</v>
      </c>
      <c r="Y117">
        <v>24</v>
      </c>
      <c r="Z117">
        <v>30</v>
      </c>
      <c r="AA117">
        <v>34</v>
      </c>
      <c r="AB117">
        <v>30</v>
      </c>
      <c r="AC117">
        <v>29</v>
      </c>
      <c r="AD117">
        <v>28</v>
      </c>
      <c r="AE117">
        <v>25</v>
      </c>
      <c r="AF117">
        <v>24</v>
      </c>
      <c r="AG117">
        <v>1</v>
      </c>
      <c r="AH117">
        <v>1</v>
      </c>
      <c r="AI117">
        <v>1</v>
      </c>
      <c r="AJ117">
        <v>1</v>
      </c>
    </row>
    <row r="118" spans="1:36">
      <c r="A118" s="2">
        <v>46049</v>
      </c>
      <c r="B118" t="s">
        <v>90</v>
      </c>
      <c r="C118">
        <v>64284</v>
      </c>
      <c r="D118">
        <v>1637</v>
      </c>
      <c r="E118" t="s">
        <v>142</v>
      </c>
      <c r="F118" t="s">
        <v>65</v>
      </c>
      <c r="G118" t="s">
        <v>57</v>
      </c>
      <c r="H118" t="s">
        <v>54</v>
      </c>
      <c r="I118" t="s">
        <v>213</v>
      </c>
      <c r="J118" t="s">
        <v>50</v>
      </c>
      <c r="L118">
        <v>31</v>
      </c>
      <c r="M118">
        <v>334.65725325</v>
      </c>
      <c r="P118">
        <v>90.9423828125</v>
      </c>
      <c r="Q118">
        <v>8</v>
      </c>
      <c r="S118" s="88">
        <v>8</v>
      </c>
      <c r="U118">
        <v>0</v>
      </c>
      <c r="V118">
        <v>0</v>
      </c>
      <c r="W118">
        <v>8</v>
      </c>
      <c r="X118">
        <v>20</v>
      </c>
      <c r="Y118">
        <v>23</v>
      </c>
      <c r="Z118">
        <v>30</v>
      </c>
      <c r="AA118">
        <v>30</v>
      </c>
      <c r="AB118">
        <v>27</v>
      </c>
      <c r="AC118">
        <v>29</v>
      </c>
      <c r="AD118">
        <v>29</v>
      </c>
      <c r="AE118">
        <v>31</v>
      </c>
      <c r="AF118">
        <v>25</v>
      </c>
      <c r="AG118">
        <v>14</v>
      </c>
      <c r="AH118">
        <v>4</v>
      </c>
      <c r="AI118">
        <v>2</v>
      </c>
      <c r="AJ118">
        <v>2</v>
      </c>
    </row>
    <row r="119" spans="1:36">
      <c r="A119" s="2">
        <v>46049</v>
      </c>
      <c r="B119" t="s">
        <v>90</v>
      </c>
      <c r="C119">
        <v>64284</v>
      </c>
      <c r="D119">
        <v>1638</v>
      </c>
      <c r="E119" t="s">
        <v>214</v>
      </c>
      <c r="F119" t="s">
        <v>65</v>
      </c>
      <c r="G119" t="s">
        <v>57</v>
      </c>
      <c r="H119" t="s">
        <v>54</v>
      </c>
      <c r="I119" t="s">
        <v>215</v>
      </c>
      <c r="J119" t="s">
        <v>50</v>
      </c>
      <c r="L119">
        <v>21</v>
      </c>
      <c r="M119">
        <v>566.84791570000004</v>
      </c>
      <c r="P119">
        <v>188.5986328125</v>
      </c>
      <c r="Q119">
        <v>3</v>
      </c>
      <c r="S119" s="88">
        <v>1</v>
      </c>
      <c r="U119">
        <v>0</v>
      </c>
      <c r="V119">
        <v>0</v>
      </c>
      <c r="W119">
        <v>0</v>
      </c>
      <c r="X119">
        <v>1</v>
      </c>
      <c r="Y119">
        <v>3</v>
      </c>
      <c r="Z119">
        <v>9</v>
      </c>
      <c r="AA119">
        <v>14</v>
      </c>
      <c r="AB119">
        <v>16</v>
      </c>
      <c r="AC119">
        <v>21</v>
      </c>
      <c r="AD119">
        <v>21</v>
      </c>
      <c r="AE119">
        <v>18</v>
      </c>
      <c r="AF119">
        <v>14</v>
      </c>
      <c r="AG119">
        <v>12</v>
      </c>
      <c r="AH119">
        <v>10</v>
      </c>
      <c r="AI119">
        <v>9</v>
      </c>
      <c r="AJ119">
        <v>8</v>
      </c>
    </row>
    <row r="120" spans="1:36">
      <c r="A120" s="2">
        <v>46049</v>
      </c>
      <c r="B120" t="s">
        <v>44</v>
      </c>
      <c r="C120">
        <v>64284</v>
      </c>
      <c r="D120">
        <v>1639</v>
      </c>
      <c r="E120" t="s">
        <v>216</v>
      </c>
      <c r="F120" t="s">
        <v>65</v>
      </c>
      <c r="G120" t="s">
        <v>57</v>
      </c>
      <c r="H120" t="s">
        <v>54</v>
      </c>
      <c r="I120" t="s">
        <v>217</v>
      </c>
      <c r="J120" t="s">
        <v>50</v>
      </c>
      <c r="L120">
        <v>20</v>
      </c>
      <c r="M120">
        <v>707.81796267000004</v>
      </c>
      <c r="P120">
        <v>122.6806640625</v>
      </c>
      <c r="Q120">
        <v>6</v>
      </c>
      <c r="S120" s="88">
        <v>6</v>
      </c>
      <c r="U120">
        <v>0</v>
      </c>
      <c r="V120">
        <v>0</v>
      </c>
      <c r="W120">
        <v>0</v>
      </c>
      <c r="X120">
        <v>6</v>
      </c>
      <c r="Y120">
        <v>12</v>
      </c>
      <c r="Z120">
        <v>14</v>
      </c>
      <c r="AA120">
        <v>17</v>
      </c>
      <c r="AB120">
        <v>18</v>
      </c>
      <c r="AC120">
        <v>19</v>
      </c>
      <c r="AD120">
        <v>19</v>
      </c>
      <c r="AE120">
        <v>20</v>
      </c>
      <c r="AF120">
        <v>19</v>
      </c>
      <c r="AG120">
        <v>18</v>
      </c>
      <c r="AH120">
        <v>18</v>
      </c>
      <c r="AI120">
        <v>15</v>
      </c>
      <c r="AJ120">
        <v>18</v>
      </c>
    </row>
    <row r="121" spans="1:36">
      <c r="A121" s="2">
        <v>46049</v>
      </c>
      <c r="B121" t="s">
        <v>90</v>
      </c>
      <c r="C121">
        <v>64285</v>
      </c>
      <c r="D121">
        <v>1640</v>
      </c>
      <c r="E121" t="s">
        <v>218</v>
      </c>
      <c r="F121" t="s">
        <v>65</v>
      </c>
      <c r="G121" t="s">
        <v>57</v>
      </c>
      <c r="H121" t="s">
        <v>48</v>
      </c>
      <c r="I121" t="s">
        <v>219</v>
      </c>
      <c r="J121" t="s">
        <v>50</v>
      </c>
      <c r="L121">
        <v>15</v>
      </c>
      <c r="M121">
        <v>412.37609860000003</v>
      </c>
      <c r="P121">
        <v>120.2392578125</v>
      </c>
      <c r="Q121">
        <v>6</v>
      </c>
      <c r="S121" s="88">
        <v>6</v>
      </c>
      <c r="U121">
        <v>0</v>
      </c>
      <c r="V121">
        <v>0</v>
      </c>
      <c r="W121">
        <v>0</v>
      </c>
      <c r="X121">
        <v>6</v>
      </c>
      <c r="Y121">
        <v>13</v>
      </c>
      <c r="Z121">
        <v>14</v>
      </c>
      <c r="AA121">
        <v>15</v>
      </c>
      <c r="AB121">
        <v>14</v>
      </c>
      <c r="AC121">
        <v>14</v>
      </c>
      <c r="AD121">
        <v>13</v>
      </c>
      <c r="AE121">
        <v>10</v>
      </c>
      <c r="AF121">
        <v>9</v>
      </c>
      <c r="AG121">
        <v>1</v>
      </c>
      <c r="AH121">
        <v>1</v>
      </c>
      <c r="AI121">
        <v>2</v>
      </c>
      <c r="AJ121">
        <v>1</v>
      </c>
    </row>
    <row r="122" spans="1:36">
      <c r="A122" s="2">
        <v>46049</v>
      </c>
      <c r="B122" t="s">
        <v>44</v>
      </c>
      <c r="C122">
        <v>64284</v>
      </c>
      <c r="D122">
        <v>1641</v>
      </c>
      <c r="E122" t="s">
        <v>95</v>
      </c>
      <c r="F122" t="s">
        <v>65</v>
      </c>
      <c r="G122" t="s">
        <v>57</v>
      </c>
      <c r="H122" t="s">
        <v>54</v>
      </c>
      <c r="J122" t="s">
        <v>50</v>
      </c>
      <c r="L122">
        <v>8</v>
      </c>
      <c r="M122">
        <v>454.67557717</v>
      </c>
      <c r="P122">
        <v>137.3291015625</v>
      </c>
      <c r="Q122">
        <v>4</v>
      </c>
      <c r="S122" s="88">
        <v>4</v>
      </c>
      <c r="U122">
        <v>0</v>
      </c>
      <c r="V122">
        <v>0</v>
      </c>
      <c r="W122">
        <v>0</v>
      </c>
      <c r="X122">
        <v>4</v>
      </c>
      <c r="Y122">
        <v>8</v>
      </c>
      <c r="Z122">
        <v>6</v>
      </c>
      <c r="AA122">
        <v>5</v>
      </c>
      <c r="AB122">
        <v>4</v>
      </c>
      <c r="AC122">
        <v>4</v>
      </c>
      <c r="AD122">
        <v>1</v>
      </c>
      <c r="AE122">
        <v>3</v>
      </c>
      <c r="AF122">
        <v>2</v>
      </c>
      <c r="AG122">
        <v>1</v>
      </c>
      <c r="AH122">
        <v>1</v>
      </c>
      <c r="AI122">
        <v>1</v>
      </c>
      <c r="AJ122">
        <v>1</v>
      </c>
    </row>
    <row r="123" spans="1:36">
      <c r="A123" s="2">
        <v>46049</v>
      </c>
      <c r="B123" t="s">
        <v>90</v>
      </c>
      <c r="C123">
        <v>64285</v>
      </c>
      <c r="D123" s="19">
        <v>1642</v>
      </c>
      <c r="E123" t="s">
        <v>220</v>
      </c>
      <c r="F123" t="s">
        <v>65</v>
      </c>
      <c r="G123" t="s">
        <v>57</v>
      </c>
      <c r="H123" t="s">
        <v>48</v>
      </c>
      <c r="J123" t="s">
        <v>50</v>
      </c>
      <c r="L123">
        <v>24</v>
      </c>
      <c r="M123">
        <v>541.17798620000008</v>
      </c>
      <c r="P123">
        <v>124.51171875</v>
      </c>
      <c r="Q123">
        <v>13</v>
      </c>
      <c r="S123" s="88">
        <v>1</v>
      </c>
      <c r="U123">
        <v>0</v>
      </c>
      <c r="V123">
        <v>0</v>
      </c>
      <c r="W123">
        <v>1</v>
      </c>
      <c r="X123">
        <v>13</v>
      </c>
      <c r="Y123">
        <v>18</v>
      </c>
      <c r="Z123">
        <v>24</v>
      </c>
      <c r="AA123">
        <v>22</v>
      </c>
      <c r="AB123">
        <v>22</v>
      </c>
      <c r="AC123">
        <v>19</v>
      </c>
      <c r="AD123">
        <v>16</v>
      </c>
      <c r="AE123">
        <v>14</v>
      </c>
      <c r="AF123">
        <v>10</v>
      </c>
      <c r="AG123">
        <v>3</v>
      </c>
      <c r="AH123">
        <v>2</v>
      </c>
      <c r="AI123">
        <v>2</v>
      </c>
      <c r="AJ123">
        <v>1</v>
      </c>
    </row>
    <row r="124" spans="1:36">
      <c r="A124" s="2">
        <v>46049</v>
      </c>
      <c r="B124" t="s">
        <v>44</v>
      </c>
      <c r="C124">
        <v>64285</v>
      </c>
      <c r="D124" s="19">
        <v>1643</v>
      </c>
      <c r="E124" t="s">
        <v>144</v>
      </c>
      <c r="F124" t="s">
        <v>65</v>
      </c>
      <c r="G124" t="s">
        <v>57</v>
      </c>
      <c r="H124" t="s">
        <v>48</v>
      </c>
      <c r="J124" t="s">
        <v>50</v>
      </c>
      <c r="L124">
        <v>25</v>
      </c>
      <c r="M124">
        <v>657.48985290000007</v>
      </c>
      <c r="P124">
        <v>188.5986328125</v>
      </c>
      <c r="Q124">
        <v>6</v>
      </c>
      <c r="S124" s="88">
        <v>6</v>
      </c>
      <c r="U124">
        <v>0</v>
      </c>
      <c r="V124">
        <v>0</v>
      </c>
      <c r="W124">
        <v>0</v>
      </c>
      <c r="X124">
        <v>0</v>
      </c>
      <c r="Y124">
        <v>6</v>
      </c>
      <c r="Z124">
        <v>16</v>
      </c>
      <c r="AA124">
        <v>22</v>
      </c>
      <c r="AB124">
        <v>24</v>
      </c>
      <c r="AC124">
        <v>24</v>
      </c>
      <c r="AD124">
        <v>25</v>
      </c>
      <c r="AE124">
        <v>24</v>
      </c>
      <c r="AF124">
        <v>21</v>
      </c>
      <c r="AG124">
        <v>17</v>
      </c>
      <c r="AH124">
        <v>17</v>
      </c>
      <c r="AI124">
        <v>14</v>
      </c>
      <c r="AJ124">
        <v>15</v>
      </c>
    </row>
    <row r="125" spans="1:36">
      <c r="A125" s="2">
        <v>46049</v>
      </c>
      <c r="B125" t="s">
        <v>44</v>
      </c>
      <c r="C125">
        <v>64285</v>
      </c>
      <c r="D125" s="19">
        <v>1644</v>
      </c>
      <c r="E125" t="s">
        <v>221</v>
      </c>
      <c r="F125" t="s">
        <v>65</v>
      </c>
      <c r="G125" t="s">
        <v>57</v>
      </c>
      <c r="H125" t="s">
        <v>48</v>
      </c>
      <c r="I125" t="s">
        <v>222</v>
      </c>
      <c r="J125" t="s">
        <v>50</v>
      </c>
      <c r="L125">
        <v>21</v>
      </c>
      <c r="M125">
        <v>809.16493219999995</v>
      </c>
      <c r="P125">
        <v>217.8955078125</v>
      </c>
      <c r="Q125">
        <v>0</v>
      </c>
      <c r="S125" s="88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</v>
      </c>
      <c r="AB125">
        <v>9</v>
      </c>
      <c r="AC125">
        <v>12</v>
      </c>
      <c r="AD125">
        <v>14</v>
      </c>
      <c r="AE125">
        <v>17</v>
      </c>
      <c r="AF125">
        <v>20</v>
      </c>
      <c r="AG125">
        <v>21</v>
      </c>
      <c r="AH125">
        <v>21</v>
      </c>
      <c r="AI125">
        <v>21</v>
      </c>
      <c r="AJ125">
        <v>21</v>
      </c>
    </row>
    <row r="126" spans="1:36">
      <c r="A126" s="2">
        <v>46050</v>
      </c>
      <c r="B126" t="s">
        <v>44</v>
      </c>
      <c r="C126">
        <v>64286</v>
      </c>
      <c r="D126">
        <v>1645</v>
      </c>
      <c r="E126" t="s">
        <v>223</v>
      </c>
      <c r="F126" t="s">
        <v>65</v>
      </c>
      <c r="G126" t="s">
        <v>47</v>
      </c>
      <c r="H126" t="s">
        <v>48</v>
      </c>
      <c r="I126" t="s">
        <v>224</v>
      </c>
      <c r="J126" t="s">
        <v>50</v>
      </c>
      <c r="L126">
        <v>19</v>
      </c>
      <c r="M126">
        <v>480.50791929999997</v>
      </c>
      <c r="P126">
        <v>113.525390625</v>
      </c>
      <c r="Q126">
        <v>5</v>
      </c>
      <c r="S126" s="88">
        <v>5</v>
      </c>
      <c r="U126">
        <v>0</v>
      </c>
      <c r="V126">
        <v>0</v>
      </c>
      <c r="W126">
        <v>0</v>
      </c>
      <c r="X126">
        <v>5</v>
      </c>
      <c r="Y126">
        <v>10</v>
      </c>
      <c r="Z126">
        <v>12</v>
      </c>
      <c r="AA126">
        <v>14</v>
      </c>
      <c r="AB126">
        <v>14</v>
      </c>
      <c r="AC126">
        <v>16</v>
      </c>
      <c r="AD126">
        <v>16</v>
      </c>
      <c r="AE126">
        <v>19</v>
      </c>
      <c r="AF126">
        <v>13</v>
      </c>
      <c r="AG126">
        <v>14</v>
      </c>
      <c r="AH126">
        <v>12</v>
      </c>
      <c r="AI126">
        <v>8</v>
      </c>
      <c r="AJ126">
        <v>7</v>
      </c>
    </row>
    <row r="127" spans="1:36">
      <c r="A127" s="2">
        <v>46050</v>
      </c>
      <c r="B127" t="s">
        <v>90</v>
      </c>
      <c r="C127">
        <v>64286</v>
      </c>
      <c r="D127" s="19">
        <v>1646</v>
      </c>
      <c r="E127" t="s">
        <v>140</v>
      </c>
      <c r="F127" t="s">
        <v>65</v>
      </c>
      <c r="G127" t="s">
        <v>47</v>
      </c>
      <c r="H127" t="s">
        <v>48</v>
      </c>
      <c r="J127" t="s">
        <v>50</v>
      </c>
      <c r="L127">
        <v>18</v>
      </c>
      <c r="M127">
        <v>670.01951596000004</v>
      </c>
      <c r="P127">
        <v>127.5634765625</v>
      </c>
      <c r="Q127">
        <v>5</v>
      </c>
      <c r="S127" s="88">
        <v>5</v>
      </c>
      <c r="U127">
        <v>0</v>
      </c>
      <c r="V127">
        <v>0</v>
      </c>
      <c r="W127">
        <v>0</v>
      </c>
      <c r="X127">
        <v>5</v>
      </c>
      <c r="Y127">
        <v>8</v>
      </c>
      <c r="Z127">
        <v>11</v>
      </c>
      <c r="AA127">
        <v>16</v>
      </c>
      <c r="AB127">
        <v>16</v>
      </c>
      <c r="AC127">
        <v>17</v>
      </c>
      <c r="AD127">
        <v>17</v>
      </c>
      <c r="AE127">
        <v>18</v>
      </c>
      <c r="AF127">
        <v>18</v>
      </c>
      <c r="AG127">
        <v>14</v>
      </c>
      <c r="AH127">
        <v>14</v>
      </c>
      <c r="AI127">
        <v>2</v>
      </c>
      <c r="AJ127">
        <v>2</v>
      </c>
    </row>
    <row r="128" spans="1:36">
      <c r="A128" s="2">
        <v>46050</v>
      </c>
      <c r="B128" t="s">
        <v>44</v>
      </c>
      <c r="C128">
        <v>64286</v>
      </c>
      <c r="D128">
        <v>1647</v>
      </c>
      <c r="E128" t="s">
        <v>107</v>
      </c>
      <c r="F128" t="s">
        <v>65</v>
      </c>
      <c r="G128" t="s">
        <v>47</v>
      </c>
      <c r="H128" t="s">
        <v>48</v>
      </c>
      <c r="I128" t="s">
        <v>225</v>
      </c>
      <c r="J128" t="s">
        <v>50</v>
      </c>
      <c r="L128">
        <v>46</v>
      </c>
      <c r="M128">
        <v>556.26509097000007</v>
      </c>
      <c r="P128">
        <v>140.380859375</v>
      </c>
      <c r="Q128">
        <v>12</v>
      </c>
      <c r="S128" s="88">
        <v>2</v>
      </c>
      <c r="U128">
        <v>0</v>
      </c>
      <c r="V128">
        <v>0</v>
      </c>
      <c r="W128">
        <v>2</v>
      </c>
      <c r="X128">
        <v>12</v>
      </c>
      <c r="Y128">
        <v>21</v>
      </c>
      <c r="Z128">
        <v>25</v>
      </c>
      <c r="AA128">
        <v>27</v>
      </c>
      <c r="AB128">
        <v>28</v>
      </c>
      <c r="AC128">
        <v>30</v>
      </c>
      <c r="AD128">
        <v>31</v>
      </c>
      <c r="AE128">
        <v>32</v>
      </c>
      <c r="AF128">
        <v>34</v>
      </c>
      <c r="AG128">
        <v>40</v>
      </c>
      <c r="AH128">
        <v>46</v>
      </c>
      <c r="AI128">
        <v>46</v>
      </c>
      <c r="AJ128">
        <v>12</v>
      </c>
    </row>
    <row r="129" spans="1:36">
      <c r="A129" s="2">
        <v>46050</v>
      </c>
      <c r="B129" t="s">
        <v>44</v>
      </c>
      <c r="C129">
        <v>64286</v>
      </c>
      <c r="D129">
        <v>1648</v>
      </c>
      <c r="E129" t="s">
        <v>116</v>
      </c>
      <c r="F129" t="s">
        <v>65</v>
      </c>
      <c r="G129" t="s">
        <v>47</v>
      </c>
      <c r="H129" t="s">
        <v>48</v>
      </c>
      <c r="I129" t="s">
        <v>226</v>
      </c>
      <c r="J129" t="s">
        <v>50</v>
      </c>
      <c r="L129">
        <v>9</v>
      </c>
      <c r="M129">
        <v>1566.8991222090001</v>
      </c>
      <c r="P129">
        <v>297.2412109375</v>
      </c>
      <c r="Q129">
        <v>1</v>
      </c>
      <c r="S129" s="88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5</v>
      </c>
      <c r="AC129">
        <v>7</v>
      </c>
      <c r="AD129">
        <v>9</v>
      </c>
      <c r="AE129">
        <v>8</v>
      </c>
      <c r="AF129">
        <v>8</v>
      </c>
      <c r="AG129">
        <v>7</v>
      </c>
      <c r="AH129">
        <v>4</v>
      </c>
      <c r="AI129">
        <v>5</v>
      </c>
      <c r="AJ129">
        <v>4</v>
      </c>
    </row>
    <row r="130" spans="1:36">
      <c r="A130" s="2">
        <v>46050</v>
      </c>
      <c r="B130" t="s">
        <v>90</v>
      </c>
      <c r="C130">
        <v>64286</v>
      </c>
      <c r="D130">
        <v>1649</v>
      </c>
      <c r="E130" t="s">
        <v>124</v>
      </c>
      <c r="F130" t="s">
        <v>65</v>
      </c>
      <c r="G130" t="s">
        <v>47</v>
      </c>
      <c r="H130" t="s">
        <v>48</v>
      </c>
      <c r="I130" t="s">
        <v>227</v>
      </c>
      <c r="J130" t="s">
        <v>50</v>
      </c>
      <c r="L130" s="78">
        <v>24</v>
      </c>
      <c r="M130">
        <v>721.52853732300002</v>
      </c>
      <c r="P130">
        <v>98.876953125</v>
      </c>
      <c r="Q130" s="78">
        <v>3</v>
      </c>
      <c r="S130" s="88">
        <v>3</v>
      </c>
      <c r="U130" s="78">
        <v>0</v>
      </c>
      <c r="V130" s="78">
        <v>0</v>
      </c>
      <c r="W130" s="78">
        <v>3</v>
      </c>
      <c r="X130" s="78">
        <v>10</v>
      </c>
      <c r="Y130" s="78">
        <v>13</v>
      </c>
      <c r="Z130" s="78">
        <v>18</v>
      </c>
      <c r="AA130" s="78">
        <v>20</v>
      </c>
      <c r="AB130" s="78">
        <v>20</v>
      </c>
      <c r="AC130" s="78">
        <v>23</v>
      </c>
      <c r="AD130" s="78">
        <v>22</v>
      </c>
      <c r="AE130" s="78">
        <v>23</v>
      </c>
      <c r="AF130" s="78">
        <v>24</v>
      </c>
      <c r="AG130" s="78">
        <v>22</v>
      </c>
      <c r="AH130" s="78">
        <v>19</v>
      </c>
      <c r="AI130" s="78">
        <v>17</v>
      </c>
      <c r="AJ130" s="78">
        <v>18</v>
      </c>
    </row>
    <row r="131" spans="1:36">
      <c r="A131" s="2">
        <v>46050</v>
      </c>
      <c r="B131" t="s">
        <v>90</v>
      </c>
      <c r="C131">
        <v>64287</v>
      </c>
      <c r="D131">
        <v>1650</v>
      </c>
      <c r="E131" t="s">
        <v>126</v>
      </c>
      <c r="F131" t="s">
        <v>65</v>
      </c>
      <c r="G131" t="s">
        <v>47</v>
      </c>
      <c r="H131" t="s">
        <v>54</v>
      </c>
      <c r="J131" t="s">
        <v>50</v>
      </c>
      <c r="L131" s="78">
        <v>6</v>
      </c>
      <c r="M131">
        <v>541.04994682000006</v>
      </c>
      <c r="P131" s="4"/>
      <c r="Q131" s="4"/>
      <c r="S131" s="88">
        <v>1</v>
      </c>
      <c r="U131" s="78">
        <v>0</v>
      </c>
      <c r="V131" s="78">
        <v>0</v>
      </c>
      <c r="W131" s="78">
        <v>0</v>
      </c>
      <c r="X131" s="78">
        <v>1</v>
      </c>
      <c r="Y131" s="78">
        <v>4</v>
      </c>
      <c r="Z131" s="78">
        <v>5</v>
      </c>
      <c r="AA131" s="78">
        <v>4</v>
      </c>
      <c r="AB131" s="78">
        <v>6</v>
      </c>
      <c r="AC131" s="78">
        <v>4</v>
      </c>
      <c r="AD131" s="78">
        <v>4</v>
      </c>
      <c r="AE131" s="78">
        <v>5</v>
      </c>
      <c r="AF131" s="78">
        <v>2</v>
      </c>
      <c r="AG131" s="78">
        <v>1</v>
      </c>
      <c r="AH131" s="78">
        <v>1</v>
      </c>
      <c r="AI131" s="78">
        <v>1</v>
      </c>
      <c r="AJ131" s="78">
        <v>1</v>
      </c>
    </row>
    <row r="132" spans="1:36">
      <c r="A132" s="2">
        <v>46050</v>
      </c>
      <c r="B132" t="s">
        <v>90</v>
      </c>
      <c r="C132">
        <v>64287</v>
      </c>
      <c r="D132">
        <v>1651</v>
      </c>
      <c r="E132" t="s">
        <v>145</v>
      </c>
      <c r="F132" t="s">
        <v>65</v>
      </c>
      <c r="G132" t="s">
        <v>47</v>
      </c>
      <c r="H132" t="s">
        <v>54</v>
      </c>
      <c r="I132" t="s">
        <v>228</v>
      </c>
      <c r="J132" t="s">
        <v>50</v>
      </c>
      <c r="L132" s="78">
        <v>20</v>
      </c>
      <c r="M132">
        <v>515.36892697999997</v>
      </c>
      <c r="P132">
        <v>152.587890625</v>
      </c>
      <c r="Q132" s="78">
        <v>12</v>
      </c>
      <c r="S132" s="88">
        <v>5</v>
      </c>
      <c r="U132" s="78">
        <v>0</v>
      </c>
      <c r="V132" s="78">
        <v>0</v>
      </c>
      <c r="W132" s="78">
        <v>0</v>
      </c>
      <c r="X132" s="78">
        <v>5</v>
      </c>
      <c r="Y132" s="78">
        <v>12</v>
      </c>
      <c r="Z132" s="78">
        <v>15</v>
      </c>
      <c r="AA132" s="78">
        <v>20</v>
      </c>
      <c r="AB132" s="78">
        <v>18</v>
      </c>
      <c r="AC132" s="78">
        <v>19</v>
      </c>
      <c r="AD132" s="78">
        <v>19</v>
      </c>
      <c r="AE132" s="78">
        <v>16</v>
      </c>
      <c r="AF132" s="78">
        <v>16</v>
      </c>
      <c r="AG132" s="78">
        <v>14</v>
      </c>
      <c r="AH132" s="78">
        <v>10</v>
      </c>
      <c r="AI132" s="78">
        <v>1</v>
      </c>
      <c r="AJ132" s="78">
        <v>1</v>
      </c>
    </row>
    <row r="133" spans="1:36">
      <c r="A133" s="2">
        <v>46051</v>
      </c>
      <c r="B133" t="s">
        <v>90</v>
      </c>
      <c r="C133">
        <v>64278</v>
      </c>
      <c r="D133">
        <v>1652</v>
      </c>
      <c r="E133" t="s">
        <v>140</v>
      </c>
      <c r="F133" t="s">
        <v>46</v>
      </c>
      <c r="G133" t="s">
        <v>57</v>
      </c>
      <c r="H133" t="s">
        <v>54</v>
      </c>
      <c r="J133" t="s">
        <v>50</v>
      </c>
      <c r="L133" s="78">
        <v>14</v>
      </c>
      <c r="M133">
        <v>437.78233717000001</v>
      </c>
      <c r="P133">
        <v>104.3701171875</v>
      </c>
      <c r="Q133" s="78">
        <v>7</v>
      </c>
      <c r="S133" s="88">
        <v>2</v>
      </c>
      <c r="U133" s="78">
        <v>0</v>
      </c>
      <c r="V133" s="78">
        <v>0</v>
      </c>
      <c r="W133" s="78">
        <v>2</v>
      </c>
      <c r="X133" s="78">
        <v>7</v>
      </c>
      <c r="Y133" s="78">
        <v>12</v>
      </c>
      <c r="Z133" s="78">
        <v>14</v>
      </c>
      <c r="AA133" s="78">
        <v>13</v>
      </c>
      <c r="AB133" s="78">
        <v>12</v>
      </c>
      <c r="AC133" s="78">
        <v>9</v>
      </c>
      <c r="AD133" s="78">
        <v>9</v>
      </c>
      <c r="AE133" s="78">
        <v>7</v>
      </c>
      <c r="AF133" s="78">
        <v>7</v>
      </c>
      <c r="AG133" s="78">
        <v>4</v>
      </c>
      <c r="AH133" s="78">
        <v>2</v>
      </c>
      <c r="AI133" s="78">
        <v>2</v>
      </c>
      <c r="AJ133" s="78">
        <v>2</v>
      </c>
    </row>
    <row r="134" spans="1:36">
      <c r="A134" s="2">
        <v>46051</v>
      </c>
      <c r="B134" t="s">
        <v>90</v>
      </c>
      <c r="C134">
        <v>64278</v>
      </c>
      <c r="D134">
        <v>1653</v>
      </c>
      <c r="E134" t="s">
        <v>142</v>
      </c>
      <c r="F134" t="s">
        <v>46</v>
      </c>
      <c r="G134" t="s">
        <v>57</v>
      </c>
      <c r="H134" t="s">
        <v>54</v>
      </c>
      <c r="I134" t="s">
        <v>229</v>
      </c>
      <c r="J134" t="s">
        <v>50</v>
      </c>
      <c r="L134" s="78">
        <v>20</v>
      </c>
      <c r="M134">
        <v>721.29067371799999</v>
      </c>
      <c r="P134">
        <v>133.056640625</v>
      </c>
      <c r="Q134" s="78">
        <v>6</v>
      </c>
      <c r="S134" s="88">
        <v>6</v>
      </c>
      <c r="U134" s="78">
        <v>0</v>
      </c>
      <c r="V134" s="78">
        <v>0</v>
      </c>
      <c r="W134" s="78">
        <v>0</v>
      </c>
      <c r="X134" s="78">
        <v>6</v>
      </c>
      <c r="Y134" s="78">
        <v>10</v>
      </c>
      <c r="Z134" s="78">
        <v>12</v>
      </c>
      <c r="AA134" s="78">
        <v>15</v>
      </c>
      <c r="AB134" s="78">
        <v>14</v>
      </c>
      <c r="AC134" s="78">
        <v>19</v>
      </c>
      <c r="AD134" s="78">
        <v>20</v>
      </c>
      <c r="AE134" s="78">
        <v>19</v>
      </c>
      <c r="AF134" s="78">
        <v>18</v>
      </c>
      <c r="AG134" s="78">
        <v>16</v>
      </c>
      <c r="AH134" s="78">
        <v>15</v>
      </c>
      <c r="AI134" s="78">
        <v>13</v>
      </c>
      <c r="AJ134" s="78">
        <v>6</v>
      </c>
    </row>
    <row r="135" spans="1:36">
      <c r="A135" s="2">
        <v>46051</v>
      </c>
      <c r="B135" t="s">
        <v>90</v>
      </c>
      <c r="C135">
        <v>64278</v>
      </c>
      <c r="D135" s="19">
        <v>1654</v>
      </c>
      <c r="E135" t="s">
        <v>184</v>
      </c>
      <c r="F135" t="s">
        <v>46</v>
      </c>
      <c r="G135" t="s">
        <v>57</v>
      </c>
      <c r="H135" t="s">
        <v>54</v>
      </c>
      <c r="J135" t="s">
        <v>50</v>
      </c>
      <c r="L135" s="78">
        <v>26</v>
      </c>
      <c r="M135">
        <v>1262.6923256900002</v>
      </c>
      <c r="P135">
        <v>218.505859375</v>
      </c>
      <c r="Q135" s="78">
        <v>12</v>
      </c>
      <c r="S135" s="88">
        <v>6</v>
      </c>
      <c r="U135" s="78">
        <v>0</v>
      </c>
      <c r="V135" s="78">
        <v>0</v>
      </c>
      <c r="W135" s="78">
        <v>0</v>
      </c>
      <c r="X135" s="78">
        <v>0</v>
      </c>
      <c r="Y135" s="78">
        <v>6</v>
      </c>
      <c r="Z135" s="78">
        <v>12</v>
      </c>
      <c r="AA135" s="78">
        <v>15</v>
      </c>
      <c r="AB135" s="78">
        <v>19</v>
      </c>
      <c r="AC135" s="78">
        <v>21</v>
      </c>
      <c r="AD135" s="78">
        <v>23</v>
      </c>
      <c r="AE135" s="78">
        <v>24</v>
      </c>
      <c r="AF135" s="78">
        <v>26</v>
      </c>
      <c r="AG135" s="78">
        <v>24</v>
      </c>
      <c r="AH135" s="78">
        <v>17</v>
      </c>
      <c r="AI135" s="78">
        <v>19</v>
      </c>
      <c r="AJ135" s="78">
        <v>13</v>
      </c>
    </row>
    <row r="136" spans="1:36">
      <c r="A136" s="2">
        <v>46051</v>
      </c>
      <c r="B136" t="s">
        <v>158</v>
      </c>
      <c r="C136">
        <v>64278</v>
      </c>
      <c r="D136">
        <v>1655</v>
      </c>
      <c r="E136" t="s">
        <v>230</v>
      </c>
      <c r="F136" t="s">
        <v>46</v>
      </c>
      <c r="G136" t="s">
        <v>57</v>
      </c>
      <c r="H136" t="s">
        <v>54</v>
      </c>
      <c r="J136" t="s">
        <v>50</v>
      </c>
      <c r="L136" s="78">
        <v>27</v>
      </c>
      <c r="M136">
        <v>280.15663838299997</v>
      </c>
      <c r="P136">
        <v>52.490234375</v>
      </c>
      <c r="Q136" s="78">
        <v>18</v>
      </c>
      <c r="S136" s="88">
        <v>2</v>
      </c>
      <c r="U136" s="78">
        <v>0</v>
      </c>
      <c r="V136" s="78">
        <v>2</v>
      </c>
      <c r="W136" s="78">
        <v>18</v>
      </c>
      <c r="X136" s="78">
        <v>24</v>
      </c>
      <c r="Y136" s="78">
        <v>27</v>
      </c>
      <c r="Z136" s="78">
        <v>27</v>
      </c>
      <c r="AA136" s="78">
        <v>22</v>
      </c>
      <c r="AB136" s="78">
        <v>20</v>
      </c>
      <c r="AC136" s="78">
        <v>6</v>
      </c>
      <c r="AD136" s="78">
        <v>1</v>
      </c>
      <c r="AE136" s="78">
        <v>1</v>
      </c>
      <c r="AF136" s="78">
        <v>1</v>
      </c>
      <c r="AG136" s="78">
        <v>1</v>
      </c>
      <c r="AH136" s="78">
        <v>1</v>
      </c>
      <c r="AI136" s="78">
        <v>1</v>
      </c>
      <c r="AJ136" s="78">
        <v>1</v>
      </c>
    </row>
    <row r="137" spans="1:36">
      <c r="A137" s="2">
        <v>46051</v>
      </c>
      <c r="B137" t="s">
        <v>90</v>
      </c>
      <c r="C137">
        <v>64279</v>
      </c>
      <c r="D137">
        <v>1656</v>
      </c>
      <c r="E137" t="s">
        <v>231</v>
      </c>
      <c r="F137" t="s">
        <v>46</v>
      </c>
      <c r="G137" t="s">
        <v>57</v>
      </c>
      <c r="H137" t="s">
        <v>48</v>
      </c>
      <c r="I137" t="s">
        <v>232</v>
      </c>
      <c r="J137" t="s">
        <v>50</v>
      </c>
      <c r="L137" s="78">
        <v>16</v>
      </c>
      <c r="M137">
        <v>721.32993695000005</v>
      </c>
      <c r="P137">
        <v>181.2744140625</v>
      </c>
      <c r="Q137" s="78">
        <v>3</v>
      </c>
      <c r="S137" s="88">
        <v>3</v>
      </c>
      <c r="U137" s="78">
        <v>0</v>
      </c>
      <c r="V137" s="78">
        <v>0</v>
      </c>
      <c r="W137" s="78">
        <v>0</v>
      </c>
      <c r="X137" s="78">
        <v>0</v>
      </c>
      <c r="Y137" s="78">
        <v>3</v>
      </c>
      <c r="Z137" s="78">
        <v>5</v>
      </c>
      <c r="AA137" s="78">
        <v>8</v>
      </c>
      <c r="AB137" s="78">
        <v>9</v>
      </c>
      <c r="AC137" s="78">
        <v>11</v>
      </c>
      <c r="AD137" s="78">
        <v>12</v>
      </c>
      <c r="AE137" s="78">
        <v>13</v>
      </c>
      <c r="AF137" s="78">
        <v>15</v>
      </c>
      <c r="AG137" s="78">
        <v>16</v>
      </c>
      <c r="AH137" s="78">
        <v>14</v>
      </c>
      <c r="AI137" s="78">
        <v>15</v>
      </c>
      <c r="AJ137" s="78">
        <v>14</v>
      </c>
    </row>
    <row r="138" spans="1:36">
      <c r="A138" s="2">
        <v>46051</v>
      </c>
      <c r="B138" t="s">
        <v>90</v>
      </c>
      <c r="C138">
        <v>64279</v>
      </c>
      <c r="D138">
        <v>1657</v>
      </c>
      <c r="E138" t="s">
        <v>233</v>
      </c>
      <c r="F138" t="s">
        <v>46</v>
      </c>
      <c r="G138" t="s">
        <v>57</v>
      </c>
      <c r="H138" t="s">
        <v>48</v>
      </c>
      <c r="I138" t="s">
        <v>234</v>
      </c>
      <c r="J138" t="s">
        <v>50</v>
      </c>
      <c r="L138" s="78">
        <v>14</v>
      </c>
      <c r="M138">
        <v>618.7903748</v>
      </c>
      <c r="P138">
        <v>191.0400390625</v>
      </c>
      <c r="Q138" s="78">
        <v>4</v>
      </c>
      <c r="S138" s="88">
        <v>4</v>
      </c>
      <c r="U138" s="78">
        <v>0</v>
      </c>
      <c r="V138" s="78">
        <v>0</v>
      </c>
      <c r="W138" s="78">
        <v>0</v>
      </c>
      <c r="X138" s="78">
        <v>0</v>
      </c>
      <c r="Y138" s="78">
        <v>4</v>
      </c>
      <c r="Z138" s="78">
        <v>6</v>
      </c>
      <c r="AA138" s="78">
        <v>9</v>
      </c>
      <c r="AB138" s="78">
        <v>14</v>
      </c>
      <c r="AC138" s="78">
        <v>12</v>
      </c>
      <c r="AD138" s="78">
        <v>14</v>
      </c>
      <c r="AE138" s="78">
        <v>13</v>
      </c>
      <c r="AF138" s="78">
        <v>13</v>
      </c>
      <c r="AG138" s="78">
        <v>13</v>
      </c>
      <c r="AH138" s="78">
        <v>14</v>
      </c>
      <c r="AI138" s="78">
        <v>11</v>
      </c>
      <c r="AJ138" s="78">
        <v>9</v>
      </c>
    </row>
    <row r="139" spans="1:36">
      <c r="A139" s="2">
        <v>46051</v>
      </c>
      <c r="B139" t="s">
        <v>158</v>
      </c>
      <c r="C139">
        <v>64279</v>
      </c>
      <c r="D139" s="19">
        <v>1658</v>
      </c>
      <c r="E139" t="s">
        <v>145</v>
      </c>
      <c r="F139" t="s">
        <v>46</v>
      </c>
      <c r="G139" t="s">
        <v>57</v>
      </c>
      <c r="H139" t="s">
        <v>48</v>
      </c>
      <c r="I139" t="s">
        <v>235</v>
      </c>
      <c r="J139" t="s">
        <v>50</v>
      </c>
      <c r="L139" s="78">
        <v>4</v>
      </c>
      <c r="M139">
        <v>229.58531643600003</v>
      </c>
      <c r="P139">
        <v>28.076171875</v>
      </c>
      <c r="Q139" s="78">
        <v>4</v>
      </c>
      <c r="S139" s="88">
        <v>4</v>
      </c>
      <c r="U139" s="78">
        <v>0</v>
      </c>
      <c r="V139" s="78">
        <v>4</v>
      </c>
      <c r="W139" s="78">
        <v>2</v>
      </c>
      <c r="X139" s="78">
        <v>1</v>
      </c>
      <c r="Y139" s="78">
        <v>1</v>
      </c>
      <c r="Z139" s="78">
        <v>1</v>
      </c>
      <c r="AA139" s="78">
        <v>1</v>
      </c>
      <c r="AB139" s="78">
        <v>1</v>
      </c>
      <c r="AC139" s="78">
        <v>1</v>
      </c>
      <c r="AD139" s="78">
        <v>1</v>
      </c>
      <c r="AE139" s="78">
        <v>1</v>
      </c>
      <c r="AF139" s="78">
        <v>1</v>
      </c>
      <c r="AG139" s="78">
        <v>1</v>
      </c>
      <c r="AH139" s="78">
        <v>1</v>
      </c>
      <c r="AI139" s="78">
        <v>1</v>
      </c>
      <c r="AJ139" s="78">
        <v>1</v>
      </c>
    </row>
    <row r="140" spans="1:36">
      <c r="A140" s="2">
        <v>46051</v>
      </c>
      <c r="B140" t="s">
        <v>90</v>
      </c>
      <c r="C140">
        <v>64279</v>
      </c>
      <c r="D140">
        <v>1659</v>
      </c>
      <c r="E140" t="s">
        <v>236</v>
      </c>
      <c r="F140" t="s">
        <v>46</v>
      </c>
      <c r="G140" t="s">
        <v>57</v>
      </c>
      <c r="H140" t="s">
        <v>48</v>
      </c>
      <c r="J140" t="s">
        <v>50</v>
      </c>
      <c r="L140" s="78">
        <v>18</v>
      </c>
      <c r="M140">
        <v>927.74610519500004</v>
      </c>
      <c r="P140">
        <v>187.98828125</v>
      </c>
      <c r="Q140" s="78">
        <v>2</v>
      </c>
      <c r="S140" s="88">
        <v>2</v>
      </c>
      <c r="U140" s="78">
        <v>0</v>
      </c>
      <c r="V140" s="78">
        <v>0</v>
      </c>
      <c r="W140" s="78">
        <v>0</v>
      </c>
      <c r="X140" s="78">
        <v>0</v>
      </c>
      <c r="Y140" s="78">
        <v>2</v>
      </c>
      <c r="Z140" s="78">
        <v>6</v>
      </c>
      <c r="AA140" s="78">
        <v>10</v>
      </c>
      <c r="AB140" s="78">
        <v>11</v>
      </c>
      <c r="AC140" s="78">
        <v>13</v>
      </c>
      <c r="AD140" s="78">
        <v>16</v>
      </c>
      <c r="AE140" s="78">
        <v>15</v>
      </c>
      <c r="AF140" s="78">
        <v>18</v>
      </c>
      <c r="AG140" s="78">
        <v>15</v>
      </c>
      <c r="AH140" s="78">
        <v>13</v>
      </c>
      <c r="AI140" s="78">
        <v>9</v>
      </c>
      <c r="AJ140" s="78">
        <v>11</v>
      </c>
    </row>
    <row r="141" spans="1:36">
      <c r="A141" s="2">
        <v>46052</v>
      </c>
      <c r="B141" t="s">
        <v>90</v>
      </c>
      <c r="C141">
        <v>64288</v>
      </c>
      <c r="D141" s="19">
        <v>1660</v>
      </c>
      <c r="E141" t="s">
        <v>91</v>
      </c>
      <c r="F141" t="s">
        <v>65</v>
      </c>
      <c r="G141" t="s">
        <v>47</v>
      </c>
      <c r="H141" t="s">
        <v>48</v>
      </c>
      <c r="J141" t="s">
        <v>50</v>
      </c>
      <c r="L141" s="78">
        <v>8</v>
      </c>
      <c r="M141">
        <v>721.81689449999999</v>
      </c>
      <c r="P141">
        <v>269.1650390625</v>
      </c>
      <c r="Q141" s="78">
        <v>4</v>
      </c>
      <c r="S141" s="88">
        <v>1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1</v>
      </c>
      <c r="AA141" s="78">
        <v>4</v>
      </c>
      <c r="AB141" s="78">
        <v>4</v>
      </c>
      <c r="AC141" s="78">
        <v>5</v>
      </c>
      <c r="AD141" s="78">
        <v>4</v>
      </c>
      <c r="AE141" s="78">
        <v>6</v>
      </c>
      <c r="AF141" s="78">
        <v>7</v>
      </c>
      <c r="AG141" s="78">
        <v>8</v>
      </c>
      <c r="AH141" s="78">
        <v>1</v>
      </c>
      <c r="AI141" s="78">
        <v>1</v>
      </c>
      <c r="AJ141" s="78">
        <v>1</v>
      </c>
    </row>
    <row r="142" spans="1:36">
      <c r="A142" s="2">
        <v>46052</v>
      </c>
      <c r="B142" t="s">
        <v>90</v>
      </c>
      <c r="C142">
        <v>64288</v>
      </c>
      <c r="D142" s="19">
        <v>1661</v>
      </c>
      <c r="E142" t="s">
        <v>237</v>
      </c>
      <c r="F142" t="s">
        <v>65</v>
      </c>
      <c r="G142" t="s">
        <v>47</v>
      </c>
      <c r="H142" t="s">
        <v>48</v>
      </c>
      <c r="J142" t="s">
        <v>50</v>
      </c>
      <c r="L142" s="78">
        <v>6</v>
      </c>
      <c r="M142">
        <v>824.4393311</v>
      </c>
      <c r="P142">
        <v>203.857421875</v>
      </c>
      <c r="Q142" s="78">
        <v>2</v>
      </c>
      <c r="S142" s="88">
        <v>2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2</v>
      </c>
      <c r="AA142" s="78">
        <v>4</v>
      </c>
      <c r="AB142" s="78">
        <v>3</v>
      </c>
      <c r="AC142" s="78">
        <v>5</v>
      </c>
      <c r="AD142" s="78">
        <v>5</v>
      </c>
      <c r="AE142" s="78">
        <v>6</v>
      </c>
      <c r="AF142" s="78">
        <v>6</v>
      </c>
      <c r="AG142" s="78">
        <v>4</v>
      </c>
      <c r="AH142" s="78">
        <v>1</v>
      </c>
      <c r="AI142" s="78">
        <v>1</v>
      </c>
      <c r="AJ142" s="78">
        <v>1</v>
      </c>
    </row>
    <row r="143" spans="1:36">
      <c r="A143" s="2">
        <v>46052</v>
      </c>
      <c r="B143" t="s">
        <v>90</v>
      </c>
      <c r="C143">
        <v>64288</v>
      </c>
      <c r="D143">
        <v>1662</v>
      </c>
      <c r="E143" t="s">
        <v>238</v>
      </c>
      <c r="F143" t="s">
        <v>65</v>
      </c>
      <c r="G143" t="s">
        <v>47</v>
      </c>
      <c r="H143" t="s">
        <v>48</v>
      </c>
      <c r="I143" t="s">
        <v>239</v>
      </c>
      <c r="J143" t="s">
        <v>50</v>
      </c>
      <c r="L143" s="78">
        <v>22</v>
      </c>
      <c r="M143">
        <v>334.376770459</v>
      </c>
      <c r="P143">
        <v>71.4111328125</v>
      </c>
      <c r="Q143" s="78">
        <v>14</v>
      </c>
      <c r="S143" s="88">
        <v>14</v>
      </c>
      <c r="U143" s="78">
        <v>0</v>
      </c>
      <c r="V143" s="78">
        <v>0</v>
      </c>
      <c r="W143" s="78">
        <v>14</v>
      </c>
      <c r="X143" s="78">
        <v>21</v>
      </c>
      <c r="Y143" s="78">
        <v>19</v>
      </c>
      <c r="Z143" s="78">
        <v>22</v>
      </c>
      <c r="AA143" s="78">
        <v>20</v>
      </c>
      <c r="AB143" s="78">
        <v>21</v>
      </c>
      <c r="AC143" s="78">
        <v>16</v>
      </c>
      <c r="AD143" s="78">
        <v>15</v>
      </c>
      <c r="AE143" s="78">
        <v>13</v>
      </c>
      <c r="AF143" s="78">
        <v>10</v>
      </c>
      <c r="AG143" s="78">
        <v>9</v>
      </c>
      <c r="AH143" s="78">
        <v>5</v>
      </c>
      <c r="AI143" s="78">
        <v>1</v>
      </c>
      <c r="AJ143" s="78">
        <v>1</v>
      </c>
    </row>
    <row r="144" spans="1:36">
      <c r="A144" s="2">
        <v>46052</v>
      </c>
      <c r="B144" t="s">
        <v>90</v>
      </c>
      <c r="C144">
        <v>64289</v>
      </c>
      <c r="D144" s="19">
        <v>1663</v>
      </c>
      <c r="E144" t="s">
        <v>240</v>
      </c>
      <c r="F144" t="s">
        <v>65</v>
      </c>
      <c r="G144" t="s">
        <v>47</v>
      </c>
      <c r="H144" t="s">
        <v>54</v>
      </c>
      <c r="I144" t="s">
        <v>241</v>
      </c>
      <c r="J144" t="s">
        <v>50</v>
      </c>
      <c r="L144" s="78">
        <v>12</v>
      </c>
      <c r="M144">
        <v>644.30149840000001</v>
      </c>
      <c r="P144">
        <v>232.5439453125</v>
      </c>
      <c r="Q144" s="78">
        <v>2</v>
      </c>
      <c r="S144" s="88">
        <v>2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2</v>
      </c>
      <c r="AA144" s="78">
        <v>4</v>
      </c>
      <c r="AB144" s="78">
        <v>6</v>
      </c>
      <c r="AC144" s="78">
        <v>10</v>
      </c>
      <c r="AD144" s="78">
        <v>10</v>
      </c>
      <c r="AE144" s="78">
        <v>11</v>
      </c>
      <c r="AF144" s="78">
        <v>11</v>
      </c>
      <c r="AG144" s="78">
        <v>12</v>
      </c>
      <c r="AH144" s="78">
        <v>12</v>
      </c>
      <c r="AI144" s="78">
        <v>12</v>
      </c>
      <c r="AJ144" s="78">
        <v>12</v>
      </c>
    </row>
    <row r="145" spans="1:36">
      <c r="A145" s="2">
        <v>46052</v>
      </c>
      <c r="B145" t="s">
        <v>90</v>
      </c>
      <c r="C145">
        <v>64289</v>
      </c>
      <c r="D145">
        <v>1664</v>
      </c>
      <c r="E145" t="s">
        <v>167</v>
      </c>
      <c r="F145" t="s">
        <v>65</v>
      </c>
      <c r="G145" t="s">
        <v>47</v>
      </c>
      <c r="H145" t="s">
        <v>54</v>
      </c>
      <c r="I145" t="s">
        <v>243</v>
      </c>
      <c r="J145" t="s">
        <v>50</v>
      </c>
      <c r="L145" s="78">
        <v>32</v>
      </c>
      <c r="M145">
        <v>386.27916236900001</v>
      </c>
      <c r="P145">
        <v>53.1005859375</v>
      </c>
      <c r="Q145" s="78">
        <v>19</v>
      </c>
      <c r="S145" s="88">
        <v>2</v>
      </c>
      <c r="U145" s="78">
        <v>0</v>
      </c>
      <c r="V145" s="78">
        <v>2</v>
      </c>
      <c r="W145" s="78">
        <v>19</v>
      </c>
      <c r="X145" s="78">
        <v>26</v>
      </c>
      <c r="Y145" s="78">
        <v>30</v>
      </c>
      <c r="Z145" s="78">
        <v>32</v>
      </c>
      <c r="AA145" s="78">
        <v>32</v>
      </c>
      <c r="AB145" s="78">
        <v>29</v>
      </c>
      <c r="AC145" s="78">
        <v>24</v>
      </c>
      <c r="AD145" s="78">
        <v>22</v>
      </c>
      <c r="AE145" s="78">
        <v>20</v>
      </c>
      <c r="AF145" s="78">
        <v>17</v>
      </c>
      <c r="AG145" s="78">
        <v>8</v>
      </c>
      <c r="AH145" s="78">
        <v>2</v>
      </c>
      <c r="AI145" s="78">
        <v>1</v>
      </c>
      <c r="AJ145" s="78">
        <v>1</v>
      </c>
    </row>
    <row r="146" spans="1:36">
      <c r="A146" s="2">
        <v>46052</v>
      </c>
      <c r="B146" t="s">
        <v>90</v>
      </c>
      <c r="C146">
        <v>64289</v>
      </c>
      <c r="D146" s="19">
        <v>1665</v>
      </c>
      <c r="E146" t="s">
        <v>244</v>
      </c>
      <c r="F146" t="s">
        <v>65</v>
      </c>
      <c r="G146" t="s">
        <v>47</v>
      </c>
      <c r="H146" t="s">
        <v>54</v>
      </c>
      <c r="J146" t="s">
        <v>50</v>
      </c>
      <c r="L146" t="s">
        <v>152</v>
      </c>
      <c r="P146" s="4"/>
      <c r="Q146" t="s">
        <v>152</v>
      </c>
      <c r="S146" t="s">
        <v>152</v>
      </c>
      <c r="U146" t="s">
        <v>152</v>
      </c>
    </row>
    <row r="147" spans="1:36">
      <c r="A147" s="2">
        <v>46057</v>
      </c>
      <c r="B147" t="s">
        <v>44</v>
      </c>
      <c r="C147">
        <v>64280</v>
      </c>
      <c r="D147">
        <v>1666</v>
      </c>
      <c r="E147" t="s">
        <v>140</v>
      </c>
      <c r="F147" t="s">
        <v>46</v>
      </c>
      <c r="G147" t="s">
        <v>47</v>
      </c>
      <c r="H147" t="s">
        <v>48</v>
      </c>
      <c r="I147" t="s">
        <v>245</v>
      </c>
      <c r="J147" t="s">
        <v>50</v>
      </c>
      <c r="L147" s="78">
        <v>4</v>
      </c>
      <c r="M147">
        <v>581.36988454000004</v>
      </c>
      <c r="P147">
        <v>191.650390625</v>
      </c>
      <c r="Q147" s="78">
        <v>1</v>
      </c>
      <c r="S147" s="88">
        <v>1</v>
      </c>
      <c r="U147" s="78">
        <v>0</v>
      </c>
      <c r="V147" s="78">
        <v>0</v>
      </c>
      <c r="W147" s="78">
        <v>0</v>
      </c>
      <c r="X147" s="78">
        <v>0</v>
      </c>
      <c r="Y147" s="78">
        <v>1</v>
      </c>
      <c r="Z147" s="78">
        <v>4</v>
      </c>
      <c r="AA147" s="78">
        <v>2</v>
      </c>
      <c r="AB147" s="78">
        <v>4</v>
      </c>
      <c r="AC147" s="78">
        <v>2</v>
      </c>
      <c r="AD147" s="78">
        <v>2</v>
      </c>
      <c r="AE147" s="78">
        <v>2</v>
      </c>
      <c r="AF147" s="78">
        <v>1</v>
      </c>
      <c r="AG147" s="78">
        <v>2</v>
      </c>
      <c r="AH147" s="78">
        <v>1</v>
      </c>
      <c r="AI147" s="78">
        <v>1</v>
      </c>
      <c r="AJ147" s="78">
        <v>1</v>
      </c>
    </row>
    <row r="148" spans="1:36">
      <c r="A148" s="2">
        <v>46057</v>
      </c>
      <c r="B148" t="s">
        <v>44</v>
      </c>
      <c r="C148">
        <v>64280</v>
      </c>
      <c r="D148">
        <v>1667</v>
      </c>
      <c r="E148" t="s">
        <v>82</v>
      </c>
      <c r="F148" t="s">
        <v>46</v>
      </c>
      <c r="G148" t="s">
        <v>47</v>
      </c>
      <c r="H148" t="s">
        <v>48</v>
      </c>
      <c r="I148" t="s">
        <v>246</v>
      </c>
      <c r="J148" t="s">
        <v>50</v>
      </c>
      <c r="L148" s="78">
        <v>6</v>
      </c>
      <c r="M148">
        <v>454.63674925000004</v>
      </c>
      <c r="P148">
        <v>161.1328125</v>
      </c>
      <c r="Q148" s="78">
        <v>6</v>
      </c>
      <c r="S148" s="88">
        <v>2</v>
      </c>
      <c r="U148" s="78">
        <v>0</v>
      </c>
      <c r="V148" s="78">
        <v>0</v>
      </c>
      <c r="W148" s="78">
        <v>0</v>
      </c>
      <c r="X148" s="78">
        <v>2</v>
      </c>
      <c r="Y148" s="78">
        <v>6</v>
      </c>
      <c r="Z148" s="78">
        <v>4</v>
      </c>
      <c r="AA148" s="78">
        <v>6</v>
      </c>
      <c r="AB148" s="78">
        <v>6</v>
      </c>
      <c r="AC148" s="78">
        <v>5</v>
      </c>
      <c r="AD148" s="78">
        <v>5</v>
      </c>
      <c r="AE148" s="78">
        <v>5</v>
      </c>
      <c r="AF148" s="78">
        <v>2</v>
      </c>
      <c r="AG148" s="78">
        <v>1</v>
      </c>
      <c r="AH148" s="78">
        <v>1</v>
      </c>
      <c r="AI148" s="78">
        <v>1</v>
      </c>
      <c r="AJ148" s="78">
        <v>1</v>
      </c>
    </row>
    <row r="149" spans="1:36">
      <c r="A149" s="2">
        <v>46057</v>
      </c>
      <c r="B149" t="s">
        <v>90</v>
      </c>
      <c r="C149">
        <v>64280</v>
      </c>
      <c r="D149">
        <v>1668</v>
      </c>
      <c r="E149" t="s">
        <v>140</v>
      </c>
      <c r="F149" t="s">
        <v>46</v>
      </c>
      <c r="G149" t="s">
        <v>47</v>
      </c>
      <c r="H149" t="s">
        <v>48</v>
      </c>
      <c r="I149" t="s">
        <v>247</v>
      </c>
      <c r="J149" t="s">
        <v>50</v>
      </c>
      <c r="L149" s="78">
        <v>15</v>
      </c>
      <c r="M149">
        <v>772.29295350000007</v>
      </c>
      <c r="P149">
        <v>209.3505859375</v>
      </c>
      <c r="Q149" s="78">
        <v>1</v>
      </c>
      <c r="S149" s="88">
        <v>1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1</v>
      </c>
      <c r="AA149" s="78">
        <v>5</v>
      </c>
      <c r="AB149" s="78">
        <v>7</v>
      </c>
      <c r="AC149" s="78">
        <v>11</v>
      </c>
      <c r="AD149" s="78">
        <v>12</v>
      </c>
      <c r="AE149" s="78">
        <v>14</v>
      </c>
      <c r="AF149" s="78">
        <v>14</v>
      </c>
      <c r="AG149" s="78">
        <v>15</v>
      </c>
      <c r="AH149" s="78">
        <v>11</v>
      </c>
      <c r="AI149" s="78">
        <v>11</v>
      </c>
      <c r="AJ149" s="78">
        <v>9</v>
      </c>
    </row>
    <row r="150" spans="1:36">
      <c r="A150" s="2">
        <v>46057</v>
      </c>
      <c r="B150" t="s">
        <v>90</v>
      </c>
      <c r="C150">
        <v>64280</v>
      </c>
      <c r="D150">
        <v>1669</v>
      </c>
      <c r="E150" t="s">
        <v>142</v>
      </c>
      <c r="F150" t="s">
        <v>46</v>
      </c>
      <c r="G150" t="s">
        <v>47</v>
      </c>
      <c r="H150" t="s">
        <v>48</v>
      </c>
      <c r="I150" t="s">
        <v>248</v>
      </c>
      <c r="J150" t="s">
        <v>50</v>
      </c>
      <c r="L150" s="78">
        <v>14</v>
      </c>
      <c r="M150">
        <v>489.64196779999997</v>
      </c>
      <c r="P150">
        <v>140.380859375</v>
      </c>
      <c r="Q150" s="78">
        <v>9</v>
      </c>
      <c r="S150" s="88">
        <v>9</v>
      </c>
      <c r="U150" s="78">
        <v>0</v>
      </c>
      <c r="V150" s="78">
        <v>0</v>
      </c>
      <c r="W150" s="78">
        <v>0</v>
      </c>
      <c r="X150" s="78">
        <v>9</v>
      </c>
      <c r="Y150" s="78">
        <v>14</v>
      </c>
      <c r="Z150" s="78">
        <v>13</v>
      </c>
      <c r="AA150" s="78">
        <v>11</v>
      </c>
      <c r="AB150" s="78">
        <v>10</v>
      </c>
      <c r="AC150" s="78">
        <v>10</v>
      </c>
      <c r="AD150" s="78">
        <v>11</v>
      </c>
      <c r="AE150" s="78">
        <v>7</v>
      </c>
      <c r="AF150" s="78">
        <v>8</v>
      </c>
      <c r="AG150" s="78">
        <v>2</v>
      </c>
      <c r="AH150" s="78">
        <v>1</v>
      </c>
      <c r="AI150" s="78">
        <v>1</v>
      </c>
      <c r="AJ150" s="78">
        <v>1</v>
      </c>
    </row>
    <row r="151" spans="1:36">
      <c r="A151" s="2">
        <v>46057</v>
      </c>
      <c r="B151" t="s">
        <v>90</v>
      </c>
      <c r="C151">
        <v>64281</v>
      </c>
      <c r="D151">
        <v>1670</v>
      </c>
      <c r="E151" t="s">
        <v>194</v>
      </c>
      <c r="F151" t="s">
        <v>46</v>
      </c>
      <c r="G151" t="s">
        <v>47</v>
      </c>
      <c r="H151" t="s">
        <v>54</v>
      </c>
      <c r="J151" t="s">
        <v>50</v>
      </c>
      <c r="L151" s="78">
        <v>12</v>
      </c>
      <c r="M151">
        <v>1158.72919069</v>
      </c>
      <c r="P151">
        <v>313.720703125</v>
      </c>
      <c r="Q151" s="78">
        <v>2</v>
      </c>
      <c r="S151" s="88">
        <v>2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2</v>
      </c>
      <c r="AC151" s="78">
        <v>2</v>
      </c>
      <c r="AD151" s="78">
        <v>5</v>
      </c>
      <c r="AE151" s="78">
        <v>5</v>
      </c>
      <c r="AF151" s="78">
        <v>8</v>
      </c>
      <c r="AG151" s="78">
        <v>9</v>
      </c>
      <c r="AH151" s="78">
        <v>12</v>
      </c>
      <c r="AI151" s="78">
        <v>9</v>
      </c>
      <c r="AJ151" s="78">
        <v>9</v>
      </c>
    </row>
    <row r="152" spans="1:36">
      <c r="A152" s="2">
        <v>46057</v>
      </c>
      <c r="B152" t="s">
        <v>44</v>
      </c>
      <c r="C152">
        <v>64281</v>
      </c>
      <c r="D152">
        <v>1671</v>
      </c>
      <c r="E152" t="s">
        <v>184</v>
      </c>
      <c r="F152" t="s">
        <v>46</v>
      </c>
      <c r="G152" t="s">
        <v>47</v>
      </c>
      <c r="H152" t="s">
        <v>54</v>
      </c>
      <c r="I152" t="s">
        <v>249</v>
      </c>
      <c r="J152" t="s">
        <v>50</v>
      </c>
      <c r="L152" s="78">
        <v>49</v>
      </c>
      <c r="M152">
        <v>303.35727120000001</v>
      </c>
      <c r="P152">
        <v>67.7490234375</v>
      </c>
      <c r="Q152" s="78">
        <v>24</v>
      </c>
      <c r="S152" s="88">
        <v>7</v>
      </c>
      <c r="U152" s="78">
        <v>0</v>
      </c>
      <c r="V152" s="78">
        <v>7</v>
      </c>
      <c r="W152" s="78">
        <v>24</v>
      </c>
      <c r="X152" s="78">
        <v>33</v>
      </c>
      <c r="Y152" s="78">
        <v>39</v>
      </c>
      <c r="Z152" s="78">
        <v>42</v>
      </c>
      <c r="AA152" s="78">
        <v>44</v>
      </c>
      <c r="AB152" s="78">
        <v>47</v>
      </c>
      <c r="AC152" s="78">
        <v>46</v>
      </c>
      <c r="AD152" s="78">
        <v>49</v>
      </c>
      <c r="AE152" s="78">
        <v>47</v>
      </c>
      <c r="AF152" s="78">
        <v>30</v>
      </c>
      <c r="AG152" s="78">
        <v>7</v>
      </c>
      <c r="AH152" s="78">
        <v>2</v>
      </c>
      <c r="AI152" s="78">
        <v>1</v>
      </c>
      <c r="AJ152" s="78">
        <v>1</v>
      </c>
    </row>
    <row r="153" spans="1:36">
      <c r="A153" s="2">
        <v>46057</v>
      </c>
      <c r="B153" t="s">
        <v>44</v>
      </c>
      <c r="C153">
        <v>64281</v>
      </c>
      <c r="D153">
        <v>1672</v>
      </c>
      <c r="E153" t="s">
        <v>250</v>
      </c>
      <c r="F153" t="s">
        <v>46</v>
      </c>
      <c r="G153" t="s">
        <v>47</v>
      </c>
      <c r="H153" t="s">
        <v>54</v>
      </c>
      <c r="J153" t="s">
        <v>50</v>
      </c>
      <c r="L153" s="78">
        <v>29</v>
      </c>
      <c r="M153">
        <v>960.17907709999997</v>
      </c>
      <c r="P153">
        <v>267.9443359375</v>
      </c>
      <c r="Q153" s="78">
        <v>2</v>
      </c>
      <c r="S153" s="88">
        <v>2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2</v>
      </c>
      <c r="AB153" s="78">
        <v>5</v>
      </c>
      <c r="AC153" s="78">
        <v>9</v>
      </c>
      <c r="AD153" s="78">
        <v>12</v>
      </c>
      <c r="AE153" s="78">
        <v>13</v>
      </c>
      <c r="AF153" s="78">
        <v>19</v>
      </c>
      <c r="AG153" s="78">
        <v>23</v>
      </c>
      <c r="AH153" s="78">
        <v>26</v>
      </c>
      <c r="AI153" s="78">
        <v>28</v>
      </c>
      <c r="AJ153" s="78">
        <v>29</v>
      </c>
    </row>
    <row r="154" spans="1:36">
      <c r="A154" s="2">
        <v>46057</v>
      </c>
      <c r="B154" t="s">
        <v>90</v>
      </c>
      <c r="C154">
        <v>64281</v>
      </c>
      <c r="D154">
        <v>1673</v>
      </c>
      <c r="E154" t="s">
        <v>251</v>
      </c>
      <c r="F154" t="s">
        <v>46</v>
      </c>
      <c r="G154" t="s">
        <v>47</v>
      </c>
      <c r="H154" t="s">
        <v>54</v>
      </c>
      <c r="I154" t="s">
        <v>252</v>
      </c>
      <c r="J154" t="s">
        <v>50</v>
      </c>
      <c r="L154" s="78">
        <v>19</v>
      </c>
      <c r="M154">
        <v>540.92383579</v>
      </c>
      <c r="P154">
        <v>128.7841796875</v>
      </c>
      <c r="Q154" s="78">
        <v>8</v>
      </c>
      <c r="S154" s="88">
        <v>8</v>
      </c>
      <c r="U154" s="78">
        <v>0</v>
      </c>
      <c r="V154" s="78">
        <v>0</v>
      </c>
      <c r="W154" s="78">
        <v>0</v>
      </c>
      <c r="X154" s="78">
        <v>8</v>
      </c>
      <c r="Y154" s="78">
        <v>15</v>
      </c>
      <c r="Z154" s="78">
        <v>18</v>
      </c>
      <c r="AA154" s="78">
        <v>18</v>
      </c>
      <c r="AB154" s="78">
        <v>18</v>
      </c>
      <c r="AC154" s="78">
        <v>19</v>
      </c>
      <c r="AD154" s="78">
        <v>16</v>
      </c>
      <c r="AE154" s="78">
        <v>17</v>
      </c>
      <c r="AF154" s="78">
        <v>16</v>
      </c>
      <c r="AG154" s="78">
        <v>14</v>
      </c>
      <c r="AH154" s="78">
        <v>13</v>
      </c>
      <c r="AI154" s="78">
        <v>2</v>
      </c>
      <c r="AJ154" s="78">
        <v>1</v>
      </c>
    </row>
    <row r="155" spans="1:36">
      <c r="A155" s="2">
        <v>46057</v>
      </c>
      <c r="B155" t="s">
        <v>44</v>
      </c>
      <c r="C155">
        <v>64281</v>
      </c>
      <c r="D155">
        <v>1674</v>
      </c>
      <c r="E155" t="s">
        <v>253</v>
      </c>
      <c r="F155" t="s">
        <v>46</v>
      </c>
      <c r="G155" t="s">
        <v>47</v>
      </c>
      <c r="H155" t="s">
        <v>54</v>
      </c>
      <c r="I155" t="s">
        <v>254</v>
      </c>
      <c r="J155" t="s">
        <v>50</v>
      </c>
      <c r="L155" s="78">
        <v>19</v>
      </c>
      <c r="M155">
        <v>682.90193940000006</v>
      </c>
      <c r="P155">
        <v>225.2197265625</v>
      </c>
      <c r="Q155" s="78">
        <v>0</v>
      </c>
      <c r="S155" s="88">
        <v>6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6</v>
      </c>
      <c r="AB155" s="78">
        <v>15</v>
      </c>
      <c r="AC155" s="78">
        <v>17</v>
      </c>
      <c r="AD155" s="78">
        <v>19</v>
      </c>
      <c r="AE155" s="78">
        <v>18</v>
      </c>
      <c r="AF155" s="78">
        <v>19</v>
      </c>
      <c r="AG155" s="78">
        <v>19</v>
      </c>
      <c r="AH155" s="78">
        <v>17</v>
      </c>
      <c r="AI155" s="78">
        <v>16</v>
      </c>
      <c r="AJ155" s="78">
        <v>13</v>
      </c>
    </row>
    <row r="156" spans="1:36">
      <c r="A156" s="2">
        <v>46057</v>
      </c>
      <c r="B156" t="s">
        <v>90</v>
      </c>
      <c r="C156">
        <v>64281</v>
      </c>
      <c r="D156">
        <v>1675</v>
      </c>
      <c r="E156" t="s">
        <v>255</v>
      </c>
      <c r="F156" t="s">
        <v>46</v>
      </c>
      <c r="G156" t="s">
        <v>47</v>
      </c>
      <c r="H156" t="s">
        <v>54</v>
      </c>
      <c r="I156" t="s">
        <v>256</v>
      </c>
      <c r="J156" t="s">
        <v>50</v>
      </c>
      <c r="L156" s="78">
        <v>36</v>
      </c>
      <c r="M156">
        <v>901.29665371999999</v>
      </c>
      <c r="P156">
        <v>196.533203125</v>
      </c>
      <c r="Q156" s="78">
        <v>4</v>
      </c>
      <c r="S156" s="88">
        <v>4</v>
      </c>
      <c r="U156" s="78">
        <v>0</v>
      </c>
      <c r="V156" s="78">
        <v>0</v>
      </c>
      <c r="W156" s="78">
        <v>0</v>
      </c>
      <c r="X156" s="78">
        <v>0</v>
      </c>
      <c r="Y156" s="78">
        <v>4</v>
      </c>
      <c r="Z156" s="78">
        <v>18</v>
      </c>
      <c r="AA156" s="78">
        <v>26</v>
      </c>
      <c r="AB156" s="78">
        <v>31</v>
      </c>
      <c r="AC156" s="78">
        <v>33</v>
      </c>
      <c r="AD156" s="78">
        <v>35</v>
      </c>
      <c r="AE156" s="78">
        <v>36</v>
      </c>
      <c r="AF156" s="78">
        <v>34</v>
      </c>
      <c r="AG156" s="78">
        <v>28</v>
      </c>
      <c r="AH156" s="78">
        <v>18</v>
      </c>
      <c r="AI156" s="78">
        <v>13</v>
      </c>
      <c r="AJ156" s="78">
        <v>12</v>
      </c>
    </row>
  </sheetData>
  <conditionalFormatting sqref="U2:AJ2">
    <cfRule type="top10" dxfId="440" priority="993" stopIfTrue="1" rank="1"/>
  </conditionalFormatting>
  <conditionalFormatting sqref="U2:AJ4">
    <cfRule type="cellIs" dxfId="439" priority="1003" stopIfTrue="1" operator="greaterThan">
      <formula>0</formula>
    </cfRule>
  </conditionalFormatting>
  <conditionalFormatting sqref="U3:AJ3">
    <cfRule type="top10" dxfId="438" priority="992" stopIfTrue="1" rank="1"/>
  </conditionalFormatting>
  <conditionalFormatting sqref="U4:AJ4">
    <cfRule type="top10" dxfId="437" priority="991" rank="1"/>
  </conditionalFormatting>
  <conditionalFormatting sqref="U6:AJ6">
    <cfRule type="top10" dxfId="436" priority="990" stopIfTrue="1" rank="1"/>
    <cfRule type="cellIs" dxfId="435" priority="1002" operator="greaterThan">
      <formula>0</formula>
    </cfRule>
  </conditionalFormatting>
  <conditionalFormatting sqref="U7:AJ7">
    <cfRule type="top10" dxfId="434" priority="989" rank="1"/>
  </conditionalFormatting>
  <conditionalFormatting sqref="U7:AJ8">
    <cfRule type="cellIs" dxfId="433" priority="1000" stopIfTrue="1" operator="greaterThan">
      <formula>0</formula>
    </cfRule>
  </conditionalFormatting>
  <conditionalFormatting sqref="U8:AJ8">
    <cfRule type="top10" dxfId="432" priority="988" rank="1"/>
  </conditionalFormatting>
  <conditionalFormatting sqref="U9:AJ9">
    <cfRule type="top10" dxfId="431" priority="987" rank="1"/>
    <cfRule type="cellIs" dxfId="430" priority="999" operator="greaterThan">
      <formula>0</formula>
    </cfRule>
  </conditionalFormatting>
  <conditionalFormatting sqref="U10:AJ10">
    <cfRule type="top10" dxfId="429" priority="986" rank="1"/>
    <cfRule type="cellIs" dxfId="428" priority="998" stopIfTrue="1" operator="greaterThan">
      <formula>0</formula>
    </cfRule>
  </conditionalFormatting>
  <conditionalFormatting sqref="U11:AJ11">
    <cfRule type="top10" dxfId="427" priority="985" rank="1"/>
    <cfRule type="cellIs" dxfId="426" priority="997" operator="greaterThan">
      <formula>0</formula>
    </cfRule>
  </conditionalFormatting>
  <conditionalFormatting sqref="U12:AJ12">
    <cfRule type="top10" dxfId="425" priority="984" rank="1"/>
  </conditionalFormatting>
  <conditionalFormatting sqref="U12:AJ22">
    <cfRule type="cellIs" dxfId="424" priority="996" stopIfTrue="1" operator="greaterThan">
      <formula>0</formula>
    </cfRule>
  </conditionalFormatting>
  <conditionalFormatting sqref="U13:AJ13">
    <cfRule type="top10" dxfId="423" priority="983" rank="1"/>
  </conditionalFormatting>
  <conditionalFormatting sqref="U14:AJ14">
    <cfRule type="top10" dxfId="422" priority="982" rank="1"/>
  </conditionalFormatting>
  <conditionalFormatting sqref="U15:AJ15">
    <cfRule type="top10" dxfId="421" priority="981" rank="1"/>
  </conditionalFormatting>
  <conditionalFormatting sqref="U16:AJ16">
    <cfRule type="top10" dxfId="420" priority="980" rank="1"/>
  </conditionalFormatting>
  <conditionalFormatting sqref="U17:AJ17">
    <cfRule type="top10" dxfId="419" priority="979" rank="1"/>
  </conditionalFormatting>
  <conditionalFormatting sqref="U18:AJ18">
    <cfRule type="top10" dxfId="418" priority="978" rank="1"/>
  </conditionalFormatting>
  <conditionalFormatting sqref="U19:AJ19">
    <cfRule type="top10" dxfId="417" priority="977" rank="1"/>
  </conditionalFormatting>
  <conditionalFormatting sqref="U20:AJ20">
    <cfRule type="top10" dxfId="416" priority="976" rank="1"/>
  </conditionalFormatting>
  <conditionalFormatting sqref="U21:AJ21">
    <cfRule type="top10" dxfId="415" priority="975" rank="1"/>
  </conditionalFormatting>
  <conditionalFormatting sqref="U22:AJ22">
    <cfRule type="top10" dxfId="414" priority="974" rank="1"/>
  </conditionalFormatting>
  <conditionalFormatting sqref="U24:AJ24">
    <cfRule type="top10" dxfId="413" priority="973" rank="1"/>
  </conditionalFormatting>
  <conditionalFormatting sqref="U24:AJ26">
    <cfRule type="cellIs" dxfId="412" priority="995" stopIfTrue="1" operator="greaterThan">
      <formula>0</formula>
    </cfRule>
  </conditionalFormatting>
  <conditionalFormatting sqref="U25:AJ25">
    <cfRule type="top10" dxfId="411" priority="972" rank="1"/>
  </conditionalFormatting>
  <conditionalFormatting sqref="U26:AJ26">
    <cfRule type="top10" dxfId="410" priority="971" rank="1"/>
  </conditionalFormatting>
  <conditionalFormatting sqref="U28:AJ28">
    <cfRule type="top10" dxfId="409" priority="970" rank="1"/>
  </conditionalFormatting>
  <conditionalFormatting sqref="U28:AJ58">
    <cfRule type="cellIs" dxfId="408" priority="994" stopIfTrue="1" operator="greaterThan">
      <formula>0</formula>
    </cfRule>
  </conditionalFormatting>
  <conditionalFormatting sqref="U29:AJ29">
    <cfRule type="top10" dxfId="407" priority="969" rank="1"/>
  </conditionalFormatting>
  <conditionalFormatting sqref="U30:AJ30">
    <cfRule type="top10" dxfId="406" priority="968" rank="1"/>
  </conditionalFormatting>
  <conditionalFormatting sqref="U31:AJ31">
    <cfRule type="top10" dxfId="405" priority="967" rank="1"/>
  </conditionalFormatting>
  <conditionalFormatting sqref="U32:AJ32">
    <cfRule type="top10" dxfId="404" priority="966" rank="1"/>
  </conditionalFormatting>
  <conditionalFormatting sqref="U33:AJ33">
    <cfRule type="top10" dxfId="403" priority="965" rank="1"/>
  </conditionalFormatting>
  <conditionalFormatting sqref="U34:AJ34">
    <cfRule type="top10" dxfId="402" priority="964" rank="1"/>
  </conditionalFormatting>
  <conditionalFormatting sqref="U35:AJ35">
    <cfRule type="top10" dxfId="401" priority="963" rank="1"/>
  </conditionalFormatting>
  <conditionalFormatting sqref="U36:AJ36">
    <cfRule type="top10" dxfId="400" priority="962" rank="1"/>
  </conditionalFormatting>
  <conditionalFormatting sqref="U37:AJ37">
    <cfRule type="top10" dxfId="399" priority="961" rank="1"/>
  </conditionalFormatting>
  <conditionalFormatting sqref="U38:AJ38">
    <cfRule type="top10" dxfId="398" priority="960" rank="1"/>
  </conditionalFormatting>
  <conditionalFormatting sqref="U39:AJ39">
    <cfRule type="top10" dxfId="397" priority="959" rank="1"/>
  </conditionalFormatting>
  <conditionalFormatting sqref="U40:AJ40">
    <cfRule type="top10" dxfId="396" priority="958" rank="1"/>
  </conditionalFormatting>
  <conditionalFormatting sqref="U41:AJ41">
    <cfRule type="top10" dxfId="395" priority="957" rank="1"/>
  </conditionalFormatting>
  <conditionalFormatting sqref="U42:AJ42">
    <cfRule type="top10" dxfId="394" priority="956" rank="1"/>
  </conditionalFormatting>
  <conditionalFormatting sqref="U43:AJ43">
    <cfRule type="top10" dxfId="393" priority="955" rank="1"/>
  </conditionalFormatting>
  <conditionalFormatting sqref="U44:AJ44">
    <cfRule type="top10" dxfId="392" priority="954" rank="1"/>
  </conditionalFormatting>
  <conditionalFormatting sqref="U45:AJ45">
    <cfRule type="top10" dxfId="391" priority="953" rank="1"/>
  </conditionalFormatting>
  <conditionalFormatting sqref="U46:AJ46">
    <cfRule type="top10" dxfId="390" priority="952" rank="1"/>
  </conditionalFormatting>
  <conditionalFormatting sqref="U47:AJ47">
    <cfRule type="top10" dxfId="389" priority="951" rank="1"/>
  </conditionalFormatting>
  <conditionalFormatting sqref="U48:AJ48">
    <cfRule type="top10" dxfId="388" priority="950" rank="1"/>
  </conditionalFormatting>
  <conditionalFormatting sqref="U49:AJ49">
    <cfRule type="top10" dxfId="387" priority="949" rank="1"/>
  </conditionalFormatting>
  <conditionalFormatting sqref="U50:AJ50">
    <cfRule type="top10" dxfId="386" priority="948" rank="1"/>
  </conditionalFormatting>
  <conditionalFormatting sqref="U51:AJ51">
    <cfRule type="top10" dxfId="385" priority="947" rank="1"/>
  </conditionalFormatting>
  <conditionalFormatting sqref="U52:AJ52">
    <cfRule type="top10" dxfId="384" priority="946" rank="1"/>
  </conditionalFormatting>
  <conditionalFormatting sqref="U53:AJ53">
    <cfRule type="top10" dxfId="383" priority="945" rank="1"/>
  </conditionalFormatting>
  <conditionalFormatting sqref="U54:AJ54">
    <cfRule type="top10" dxfId="382" priority="944" rank="1"/>
  </conditionalFormatting>
  <conditionalFormatting sqref="U55:AJ55">
    <cfRule type="top10" dxfId="381" priority="943" rank="1"/>
  </conditionalFormatting>
  <conditionalFormatting sqref="U56:AJ56">
    <cfRule type="top10" dxfId="380" priority="942" rank="1"/>
  </conditionalFormatting>
  <conditionalFormatting sqref="U57:AJ57">
    <cfRule type="top10" dxfId="379" priority="941" rank="1"/>
  </conditionalFormatting>
  <conditionalFormatting sqref="U58:AJ58">
    <cfRule type="top10" dxfId="378" priority="940" rank="1"/>
  </conditionalFormatting>
  <conditionalFormatting sqref="L2">
    <cfRule type="top10" dxfId="377" priority="938" stopIfTrue="1" rank="1"/>
  </conditionalFormatting>
  <conditionalFormatting sqref="L2:L3">
    <cfRule type="cellIs" dxfId="376" priority="939" stopIfTrue="1" operator="greaterThan">
      <formula>0</formula>
    </cfRule>
  </conditionalFormatting>
  <conditionalFormatting sqref="L3">
    <cfRule type="top10" dxfId="375" priority="937" stopIfTrue="1" rank="1"/>
  </conditionalFormatting>
  <conditionalFormatting sqref="L4">
    <cfRule type="cellIs" dxfId="374" priority="936" stopIfTrue="1" operator="greaterThan">
      <formula>0</formula>
    </cfRule>
  </conditionalFormatting>
  <conditionalFormatting sqref="L4">
    <cfRule type="top10" dxfId="373" priority="935" rank="1"/>
  </conditionalFormatting>
  <conditionalFormatting sqref="L6">
    <cfRule type="top10" dxfId="372" priority="933" stopIfTrue="1" rank="1"/>
    <cfRule type="cellIs" dxfId="371" priority="934" operator="greaterThan">
      <formula>0</formula>
    </cfRule>
  </conditionalFormatting>
  <conditionalFormatting sqref="L7">
    <cfRule type="top10" dxfId="370" priority="931" rank="1"/>
  </conditionalFormatting>
  <conditionalFormatting sqref="L7">
    <cfRule type="cellIs" dxfId="369" priority="932" stopIfTrue="1" operator="greaterThan">
      <formula>0</formula>
    </cfRule>
  </conditionalFormatting>
  <conditionalFormatting sqref="L8">
    <cfRule type="cellIs" dxfId="368" priority="930" stopIfTrue="1" operator="greaterThan">
      <formula>0</formula>
    </cfRule>
  </conditionalFormatting>
  <conditionalFormatting sqref="L8">
    <cfRule type="top10" dxfId="367" priority="929" rank="1"/>
  </conditionalFormatting>
  <conditionalFormatting sqref="L9">
    <cfRule type="top10" dxfId="366" priority="927" rank="1"/>
    <cfRule type="cellIs" dxfId="365" priority="928" operator="greaterThan">
      <formula>0</formula>
    </cfRule>
  </conditionalFormatting>
  <conditionalFormatting sqref="L10">
    <cfRule type="top10" dxfId="364" priority="925" rank="1"/>
    <cfRule type="cellIs" dxfId="363" priority="926" stopIfTrue="1" operator="greaterThan">
      <formula>0</formula>
    </cfRule>
  </conditionalFormatting>
  <conditionalFormatting sqref="L11">
    <cfRule type="top10" dxfId="362" priority="923" rank="1"/>
    <cfRule type="cellIs" dxfId="361" priority="924" operator="greaterThan">
      <formula>0</formula>
    </cfRule>
  </conditionalFormatting>
  <conditionalFormatting sqref="L12">
    <cfRule type="top10" dxfId="360" priority="921" rank="1"/>
  </conditionalFormatting>
  <conditionalFormatting sqref="L12">
    <cfRule type="cellIs" dxfId="359" priority="922" stopIfTrue="1" operator="greaterThan">
      <formula>0</formula>
    </cfRule>
  </conditionalFormatting>
  <conditionalFormatting sqref="L13">
    <cfRule type="cellIs" dxfId="358" priority="920" stopIfTrue="1" operator="greaterThan">
      <formula>0</formula>
    </cfRule>
  </conditionalFormatting>
  <conditionalFormatting sqref="L13">
    <cfRule type="top10" dxfId="357" priority="919" rank="1"/>
  </conditionalFormatting>
  <conditionalFormatting sqref="L14">
    <cfRule type="cellIs" dxfId="356" priority="918" stopIfTrue="1" operator="greaterThan">
      <formula>0</formula>
    </cfRule>
  </conditionalFormatting>
  <conditionalFormatting sqref="L14">
    <cfRule type="top10" dxfId="355" priority="917" rank="1"/>
  </conditionalFormatting>
  <conditionalFormatting sqref="L15">
    <cfRule type="cellIs" dxfId="354" priority="916" stopIfTrue="1" operator="greaterThan">
      <formula>0</formula>
    </cfRule>
  </conditionalFormatting>
  <conditionalFormatting sqref="L15">
    <cfRule type="top10" dxfId="353" priority="915" rank="1"/>
  </conditionalFormatting>
  <conditionalFormatting sqref="L16">
    <cfRule type="cellIs" dxfId="352" priority="914" stopIfTrue="1" operator="greaterThan">
      <formula>0</formula>
    </cfRule>
  </conditionalFormatting>
  <conditionalFormatting sqref="L16">
    <cfRule type="top10" dxfId="351" priority="913" rank="1"/>
  </conditionalFormatting>
  <conditionalFormatting sqref="L17">
    <cfRule type="cellIs" dxfId="350" priority="912" stopIfTrue="1" operator="greaterThan">
      <formula>0</formula>
    </cfRule>
  </conditionalFormatting>
  <conditionalFormatting sqref="L17">
    <cfRule type="top10" dxfId="349" priority="911" rank="1"/>
  </conditionalFormatting>
  <conditionalFormatting sqref="L18">
    <cfRule type="cellIs" dxfId="348" priority="910" stopIfTrue="1" operator="greaterThan">
      <formula>0</formula>
    </cfRule>
  </conditionalFormatting>
  <conditionalFormatting sqref="L18">
    <cfRule type="top10" dxfId="347" priority="909" rank="1"/>
  </conditionalFormatting>
  <conditionalFormatting sqref="L19">
    <cfRule type="cellIs" dxfId="346" priority="908" stopIfTrue="1" operator="greaterThan">
      <formula>0</formula>
    </cfRule>
  </conditionalFormatting>
  <conditionalFormatting sqref="L19">
    <cfRule type="top10" dxfId="345" priority="907" rank="1"/>
  </conditionalFormatting>
  <conditionalFormatting sqref="L20">
    <cfRule type="cellIs" dxfId="344" priority="906" stopIfTrue="1" operator="greaterThan">
      <formula>0</formula>
    </cfRule>
  </conditionalFormatting>
  <conditionalFormatting sqref="L20">
    <cfRule type="top10" dxfId="343" priority="905" rank="1"/>
  </conditionalFormatting>
  <conditionalFormatting sqref="L21">
    <cfRule type="cellIs" dxfId="342" priority="904" stopIfTrue="1" operator="greaterThan">
      <formula>0</formula>
    </cfRule>
  </conditionalFormatting>
  <conditionalFormatting sqref="L21">
    <cfRule type="top10" dxfId="341" priority="903" rank="1"/>
  </conditionalFormatting>
  <conditionalFormatting sqref="L22">
    <cfRule type="cellIs" dxfId="340" priority="902" stopIfTrue="1" operator="greaterThan">
      <formula>0</formula>
    </cfRule>
  </conditionalFormatting>
  <conditionalFormatting sqref="L22">
    <cfRule type="top10" dxfId="339" priority="901" rank="1"/>
  </conditionalFormatting>
  <conditionalFormatting sqref="L24">
    <cfRule type="top10" dxfId="338" priority="899" rank="1"/>
  </conditionalFormatting>
  <conditionalFormatting sqref="L24">
    <cfRule type="cellIs" dxfId="337" priority="900" stopIfTrue="1" operator="greaterThan">
      <formula>0</formula>
    </cfRule>
  </conditionalFormatting>
  <conditionalFormatting sqref="L25">
    <cfRule type="cellIs" dxfId="336" priority="898" stopIfTrue="1" operator="greaterThan">
      <formula>0</formula>
    </cfRule>
  </conditionalFormatting>
  <conditionalFormatting sqref="L25">
    <cfRule type="top10" dxfId="335" priority="897" rank="1"/>
  </conditionalFormatting>
  <conditionalFormatting sqref="L26">
    <cfRule type="cellIs" dxfId="334" priority="896" stopIfTrue="1" operator="greaterThan">
      <formula>0</formula>
    </cfRule>
  </conditionalFormatting>
  <conditionalFormatting sqref="L26">
    <cfRule type="top10" dxfId="333" priority="895" rank="1"/>
  </conditionalFormatting>
  <conditionalFormatting sqref="L28">
    <cfRule type="top10" dxfId="332" priority="893" rank="1"/>
  </conditionalFormatting>
  <conditionalFormatting sqref="L28">
    <cfRule type="cellIs" dxfId="331" priority="894" stopIfTrue="1" operator="greaterThan">
      <formula>0</formula>
    </cfRule>
  </conditionalFormatting>
  <conditionalFormatting sqref="L29">
    <cfRule type="cellIs" dxfId="330" priority="892" stopIfTrue="1" operator="greaterThan">
      <formula>0</formula>
    </cfRule>
  </conditionalFormatting>
  <conditionalFormatting sqref="L29">
    <cfRule type="top10" dxfId="329" priority="891" rank="1"/>
  </conditionalFormatting>
  <conditionalFormatting sqref="L30">
    <cfRule type="cellIs" dxfId="328" priority="890" stopIfTrue="1" operator="greaterThan">
      <formula>0</formula>
    </cfRule>
  </conditionalFormatting>
  <conditionalFormatting sqref="L30">
    <cfRule type="top10" dxfId="327" priority="889" rank="1"/>
  </conditionalFormatting>
  <conditionalFormatting sqref="L31">
    <cfRule type="cellIs" dxfId="326" priority="888" stopIfTrue="1" operator="greaterThan">
      <formula>0</formula>
    </cfRule>
  </conditionalFormatting>
  <conditionalFormatting sqref="L31">
    <cfRule type="top10" dxfId="325" priority="887" rank="1"/>
  </conditionalFormatting>
  <conditionalFormatting sqref="L32">
    <cfRule type="cellIs" dxfId="324" priority="886" stopIfTrue="1" operator="greaterThan">
      <formula>0</formula>
    </cfRule>
  </conditionalFormatting>
  <conditionalFormatting sqref="L32">
    <cfRule type="top10" dxfId="323" priority="885" rank="1"/>
  </conditionalFormatting>
  <conditionalFormatting sqref="L33">
    <cfRule type="cellIs" dxfId="322" priority="884" stopIfTrue="1" operator="greaterThan">
      <formula>0</formula>
    </cfRule>
  </conditionalFormatting>
  <conditionalFormatting sqref="L33">
    <cfRule type="top10" dxfId="321" priority="883" rank="1"/>
  </conditionalFormatting>
  <conditionalFormatting sqref="L34">
    <cfRule type="cellIs" dxfId="320" priority="882" stopIfTrue="1" operator="greaterThan">
      <formula>0</formula>
    </cfRule>
  </conditionalFormatting>
  <conditionalFormatting sqref="L34">
    <cfRule type="top10" dxfId="319" priority="881" rank="1"/>
  </conditionalFormatting>
  <conditionalFormatting sqref="L35">
    <cfRule type="cellIs" dxfId="318" priority="880" stopIfTrue="1" operator="greaterThan">
      <formula>0</formula>
    </cfRule>
  </conditionalFormatting>
  <conditionalFormatting sqref="L35">
    <cfRule type="top10" dxfId="317" priority="879" rank="1"/>
  </conditionalFormatting>
  <conditionalFormatting sqref="L36">
    <cfRule type="cellIs" dxfId="316" priority="878" stopIfTrue="1" operator="greaterThan">
      <formula>0</formula>
    </cfRule>
  </conditionalFormatting>
  <conditionalFormatting sqref="L36">
    <cfRule type="top10" dxfId="315" priority="877" rank="1"/>
  </conditionalFormatting>
  <conditionalFormatting sqref="L37">
    <cfRule type="cellIs" dxfId="314" priority="876" stopIfTrue="1" operator="greaterThan">
      <formula>0</formula>
    </cfRule>
  </conditionalFormatting>
  <conditionalFormatting sqref="L37">
    <cfRule type="top10" dxfId="313" priority="875" rank="1"/>
  </conditionalFormatting>
  <conditionalFormatting sqref="L38">
    <cfRule type="cellIs" dxfId="312" priority="874" stopIfTrue="1" operator="greaterThan">
      <formula>0</formula>
    </cfRule>
  </conditionalFormatting>
  <conditionalFormatting sqref="L38">
    <cfRule type="top10" dxfId="311" priority="873" rank="1"/>
  </conditionalFormatting>
  <conditionalFormatting sqref="L39">
    <cfRule type="cellIs" dxfId="310" priority="872" stopIfTrue="1" operator="greaterThan">
      <formula>0</formula>
    </cfRule>
  </conditionalFormatting>
  <conditionalFormatting sqref="L39">
    <cfRule type="top10" dxfId="309" priority="871" rank="1"/>
  </conditionalFormatting>
  <conditionalFormatting sqref="L40">
    <cfRule type="cellIs" dxfId="308" priority="870" stopIfTrue="1" operator="greaterThan">
      <formula>0</formula>
    </cfRule>
  </conditionalFormatting>
  <conditionalFormatting sqref="L40">
    <cfRule type="top10" dxfId="307" priority="869" rank="1"/>
  </conditionalFormatting>
  <conditionalFormatting sqref="L41">
    <cfRule type="cellIs" dxfId="306" priority="868" stopIfTrue="1" operator="greaterThan">
      <formula>0</formula>
    </cfRule>
  </conditionalFormatting>
  <conditionalFormatting sqref="L41">
    <cfRule type="top10" dxfId="305" priority="867" rank="1"/>
  </conditionalFormatting>
  <conditionalFormatting sqref="L42">
    <cfRule type="cellIs" dxfId="304" priority="866" stopIfTrue="1" operator="greaterThan">
      <formula>0</formula>
    </cfRule>
  </conditionalFormatting>
  <conditionalFormatting sqref="L42">
    <cfRule type="top10" dxfId="303" priority="865" rank="1"/>
  </conditionalFormatting>
  <conditionalFormatting sqref="L43">
    <cfRule type="cellIs" dxfId="302" priority="864" stopIfTrue="1" operator="greaterThan">
      <formula>0</formula>
    </cfRule>
  </conditionalFormatting>
  <conditionalFormatting sqref="L43">
    <cfRule type="top10" dxfId="301" priority="863" rank="1"/>
  </conditionalFormatting>
  <conditionalFormatting sqref="L44">
    <cfRule type="cellIs" dxfId="300" priority="862" stopIfTrue="1" operator="greaterThan">
      <formula>0</formula>
    </cfRule>
  </conditionalFormatting>
  <conditionalFormatting sqref="L44">
    <cfRule type="top10" dxfId="299" priority="861" rank="1"/>
  </conditionalFormatting>
  <conditionalFormatting sqref="L45">
    <cfRule type="cellIs" dxfId="298" priority="860" stopIfTrue="1" operator="greaterThan">
      <formula>0</formula>
    </cfRule>
  </conditionalFormatting>
  <conditionalFormatting sqref="L45">
    <cfRule type="top10" dxfId="297" priority="859" rank="1"/>
  </conditionalFormatting>
  <conditionalFormatting sqref="L46">
    <cfRule type="cellIs" dxfId="296" priority="858" stopIfTrue="1" operator="greaterThan">
      <formula>0</formula>
    </cfRule>
  </conditionalFormatting>
  <conditionalFormatting sqref="L46">
    <cfRule type="top10" dxfId="295" priority="857" rank="1"/>
  </conditionalFormatting>
  <conditionalFormatting sqref="L47">
    <cfRule type="cellIs" dxfId="294" priority="856" stopIfTrue="1" operator="greaterThan">
      <formula>0</formula>
    </cfRule>
  </conditionalFormatting>
  <conditionalFormatting sqref="L47">
    <cfRule type="top10" dxfId="293" priority="855" rank="1"/>
  </conditionalFormatting>
  <conditionalFormatting sqref="L48">
    <cfRule type="cellIs" dxfId="292" priority="854" stopIfTrue="1" operator="greaterThan">
      <formula>0</formula>
    </cfRule>
  </conditionalFormatting>
  <conditionalFormatting sqref="L48">
    <cfRule type="top10" dxfId="291" priority="853" rank="1"/>
  </conditionalFormatting>
  <conditionalFormatting sqref="L49">
    <cfRule type="cellIs" dxfId="290" priority="852" stopIfTrue="1" operator="greaterThan">
      <formula>0</formula>
    </cfRule>
  </conditionalFormatting>
  <conditionalFormatting sqref="L49">
    <cfRule type="top10" dxfId="289" priority="851" rank="1"/>
  </conditionalFormatting>
  <conditionalFormatting sqref="L50">
    <cfRule type="cellIs" dxfId="288" priority="850" stopIfTrue="1" operator="greaterThan">
      <formula>0</formula>
    </cfRule>
  </conditionalFormatting>
  <conditionalFormatting sqref="L50">
    <cfRule type="top10" dxfId="287" priority="849" rank="1"/>
  </conditionalFormatting>
  <conditionalFormatting sqref="L51">
    <cfRule type="cellIs" dxfId="286" priority="848" stopIfTrue="1" operator="greaterThan">
      <formula>0</formula>
    </cfRule>
  </conditionalFormatting>
  <conditionalFormatting sqref="L51">
    <cfRule type="top10" dxfId="285" priority="847" rank="1"/>
  </conditionalFormatting>
  <conditionalFormatting sqref="L52">
    <cfRule type="cellIs" dxfId="284" priority="846" stopIfTrue="1" operator="greaterThan">
      <formula>0</formula>
    </cfRule>
  </conditionalFormatting>
  <conditionalFormatting sqref="L52">
    <cfRule type="top10" dxfId="283" priority="845" rank="1"/>
  </conditionalFormatting>
  <conditionalFormatting sqref="L53">
    <cfRule type="cellIs" dxfId="282" priority="844" stopIfTrue="1" operator="greaterThan">
      <formula>0</formula>
    </cfRule>
  </conditionalFormatting>
  <conditionalFormatting sqref="L53">
    <cfRule type="top10" dxfId="281" priority="843" rank="1"/>
  </conditionalFormatting>
  <conditionalFormatting sqref="L54">
    <cfRule type="cellIs" dxfId="280" priority="842" stopIfTrue="1" operator="greaterThan">
      <formula>0</formula>
    </cfRule>
  </conditionalFormatting>
  <conditionalFormatting sqref="L54">
    <cfRule type="top10" dxfId="279" priority="841" rank="1"/>
  </conditionalFormatting>
  <conditionalFormatting sqref="L55">
    <cfRule type="cellIs" dxfId="278" priority="840" stopIfTrue="1" operator="greaterThan">
      <formula>0</formula>
    </cfRule>
  </conditionalFormatting>
  <conditionalFormatting sqref="L55">
    <cfRule type="top10" dxfId="277" priority="839" rank="1"/>
  </conditionalFormatting>
  <conditionalFormatting sqref="L56">
    <cfRule type="cellIs" dxfId="276" priority="838" stopIfTrue="1" operator="greaterThan">
      <formula>0</formula>
    </cfRule>
  </conditionalFormatting>
  <conditionalFormatting sqref="L56">
    <cfRule type="top10" dxfId="275" priority="837" rank="1"/>
  </conditionalFormatting>
  <conditionalFormatting sqref="L57">
    <cfRule type="cellIs" dxfId="274" priority="836" stopIfTrue="1" operator="greaterThan">
      <formula>0</formula>
    </cfRule>
  </conditionalFormatting>
  <conditionalFormatting sqref="L57">
    <cfRule type="top10" dxfId="273" priority="835" rank="1"/>
  </conditionalFormatting>
  <conditionalFormatting sqref="L58">
    <cfRule type="cellIs" dxfId="272" priority="834" stopIfTrue="1" operator="greaterThan">
      <formula>0</formula>
    </cfRule>
  </conditionalFormatting>
  <conditionalFormatting sqref="L58">
    <cfRule type="top10" dxfId="271" priority="833" rank="1"/>
  </conditionalFormatting>
  <conditionalFormatting sqref="J127">
    <cfRule type="containsText" dxfId="270" priority="832" operator="containsText" text="CFM">
      <formula>NOT(ISERROR(SEARCH("CFM",J127)))</formula>
    </cfRule>
  </conditionalFormatting>
  <conditionalFormatting sqref="H2:H156">
    <cfRule type="containsText" dxfId="269" priority="831" operator="containsText" text="Biocytin+">
      <formula>NOT(ISERROR(SEARCH("Biocytin+",H2)))</formula>
    </cfRule>
  </conditionalFormatting>
  <conditionalFormatting sqref="U59:AJ62 U64:AJ64 U66:AJ85 U87:AJ88 U90:AJ90 U92:AJ93 U95:AJ97 U99:AJ145 U147:AJ156">
    <cfRule type="cellIs" dxfId="268" priority="830" operator="greaterThan">
      <formula>0</formula>
    </cfRule>
  </conditionalFormatting>
  <conditionalFormatting sqref="U59:AJ59">
    <cfRule type="top10" dxfId="267" priority="829" rank="1"/>
  </conditionalFormatting>
  <conditionalFormatting sqref="U60:AJ60">
    <cfRule type="top10" dxfId="266" priority="828" rank="1"/>
  </conditionalFormatting>
  <conditionalFormatting sqref="U61:AJ61">
    <cfRule type="top10" dxfId="265" priority="827" rank="1"/>
  </conditionalFormatting>
  <conditionalFormatting sqref="U62:AJ62">
    <cfRule type="top10" dxfId="264" priority="826" rank="1"/>
  </conditionalFormatting>
  <conditionalFormatting sqref="U64:AJ64">
    <cfRule type="top10" dxfId="263" priority="825" rank="1"/>
  </conditionalFormatting>
  <conditionalFormatting sqref="U66:AJ66">
    <cfRule type="top10" dxfId="262" priority="824" rank="1"/>
  </conditionalFormatting>
  <conditionalFormatting sqref="U67:AJ67">
    <cfRule type="top10" dxfId="261" priority="823" rank="1"/>
  </conditionalFormatting>
  <conditionalFormatting sqref="U69:AJ69">
    <cfRule type="top10" dxfId="260" priority="822" rank="1"/>
  </conditionalFormatting>
  <conditionalFormatting sqref="U70:AJ70">
    <cfRule type="top10" dxfId="259" priority="821" rank="1"/>
  </conditionalFormatting>
  <conditionalFormatting sqref="U71:AJ71">
    <cfRule type="top10" dxfId="258" priority="820" rank="1"/>
  </conditionalFormatting>
  <conditionalFormatting sqref="U72:AJ72">
    <cfRule type="top10" dxfId="257" priority="819" rank="1"/>
  </conditionalFormatting>
  <conditionalFormatting sqref="U73:AJ73">
    <cfRule type="top10" dxfId="256" priority="818" rank="1"/>
  </conditionalFormatting>
  <conditionalFormatting sqref="U74:AJ74">
    <cfRule type="top10" dxfId="255" priority="817" rank="1"/>
  </conditionalFormatting>
  <conditionalFormatting sqref="U75:AJ75">
    <cfRule type="top10" dxfId="254" priority="816" rank="1"/>
  </conditionalFormatting>
  <conditionalFormatting sqref="U76:AJ76">
    <cfRule type="top10" dxfId="253" priority="815" rank="1"/>
  </conditionalFormatting>
  <conditionalFormatting sqref="U77:AJ77">
    <cfRule type="top10" dxfId="252" priority="814" rank="1"/>
  </conditionalFormatting>
  <conditionalFormatting sqref="U78:AJ78">
    <cfRule type="top10" dxfId="251" priority="813" rank="1"/>
  </conditionalFormatting>
  <conditionalFormatting sqref="U79:AJ79">
    <cfRule type="top10" dxfId="250" priority="812" rank="1"/>
  </conditionalFormatting>
  <conditionalFormatting sqref="U80:AJ80">
    <cfRule type="top10" dxfId="249" priority="811" rank="1"/>
  </conditionalFormatting>
  <conditionalFormatting sqref="U81:AJ81">
    <cfRule type="top10" dxfId="248" priority="810" rank="1"/>
  </conditionalFormatting>
  <conditionalFormatting sqref="U82:AJ82">
    <cfRule type="top10" dxfId="247" priority="809" rank="1"/>
  </conditionalFormatting>
  <conditionalFormatting sqref="U83:AJ83">
    <cfRule type="top10" dxfId="246" priority="808" rank="1"/>
  </conditionalFormatting>
  <conditionalFormatting sqref="U84:AJ84">
    <cfRule type="top10" dxfId="245" priority="807" rank="1"/>
  </conditionalFormatting>
  <conditionalFormatting sqref="U85:AJ85">
    <cfRule type="top10" dxfId="244" priority="806" rank="1"/>
  </conditionalFormatting>
  <conditionalFormatting sqref="U87:AJ87">
    <cfRule type="top10" dxfId="243" priority="805" rank="1"/>
  </conditionalFormatting>
  <conditionalFormatting sqref="U88:AJ88">
    <cfRule type="top10" dxfId="242" priority="804" rank="1"/>
  </conditionalFormatting>
  <conditionalFormatting sqref="U90:AJ90">
    <cfRule type="top10" dxfId="241" priority="803" rank="1"/>
  </conditionalFormatting>
  <conditionalFormatting sqref="U92:AJ92">
    <cfRule type="top10" dxfId="240" priority="802" rank="1"/>
  </conditionalFormatting>
  <conditionalFormatting sqref="U93:AJ93">
    <cfRule type="top10" dxfId="239" priority="801" rank="1"/>
  </conditionalFormatting>
  <conditionalFormatting sqref="U95:AJ95">
    <cfRule type="top10" dxfId="238" priority="800" rank="1"/>
  </conditionalFormatting>
  <conditionalFormatting sqref="U96:AJ96">
    <cfRule type="top10" dxfId="237" priority="799" rank="1"/>
  </conditionalFormatting>
  <conditionalFormatting sqref="U97:AJ97">
    <cfRule type="top10" dxfId="236" priority="798" rank="1"/>
  </conditionalFormatting>
  <conditionalFormatting sqref="U99:AJ99">
    <cfRule type="top10" dxfId="235" priority="797" rank="1"/>
  </conditionalFormatting>
  <conditionalFormatting sqref="U100:AJ100">
    <cfRule type="top10" dxfId="234" priority="796" rank="1"/>
  </conditionalFormatting>
  <conditionalFormatting sqref="U101:AJ101">
    <cfRule type="top10" dxfId="233" priority="795" rank="1"/>
  </conditionalFormatting>
  <conditionalFormatting sqref="U102:AJ102">
    <cfRule type="top10" dxfId="232" priority="794" rank="1"/>
  </conditionalFormatting>
  <conditionalFormatting sqref="U103:AJ103">
    <cfRule type="top10" dxfId="231" priority="793" rank="1"/>
  </conditionalFormatting>
  <conditionalFormatting sqref="U104:AJ104">
    <cfRule type="top10" dxfId="230" priority="792" rank="1"/>
  </conditionalFormatting>
  <conditionalFormatting sqref="U105:AJ105">
    <cfRule type="top10" dxfId="229" priority="791" rank="1"/>
  </conditionalFormatting>
  <conditionalFormatting sqref="U106:AJ106">
    <cfRule type="top10" dxfId="228" priority="790" rank="1"/>
  </conditionalFormatting>
  <conditionalFormatting sqref="U107:AJ107">
    <cfRule type="top10" dxfId="227" priority="789" rank="1"/>
  </conditionalFormatting>
  <conditionalFormatting sqref="U108:AJ108">
    <cfRule type="top10" dxfId="226" priority="788" rank="1"/>
  </conditionalFormatting>
  <conditionalFormatting sqref="U109:AJ109">
    <cfRule type="top10" dxfId="225" priority="787" rank="1"/>
  </conditionalFormatting>
  <conditionalFormatting sqref="U110:AJ110">
    <cfRule type="top10" dxfId="224" priority="786" rank="1"/>
  </conditionalFormatting>
  <conditionalFormatting sqref="U111:AJ111">
    <cfRule type="top10" dxfId="223" priority="785" rank="1"/>
  </conditionalFormatting>
  <conditionalFormatting sqref="U112:AJ112">
    <cfRule type="top10" dxfId="222" priority="784" rank="1"/>
  </conditionalFormatting>
  <conditionalFormatting sqref="U113:AJ113">
    <cfRule type="top10" dxfId="221" priority="783" rank="1"/>
  </conditionalFormatting>
  <conditionalFormatting sqref="U114:AJ114">
    <cfRule type="top10" dxfId="220" priority="782" rank="1"/>
  </conditionalFormatting>
  <conditionalFormatting sqref="U115:AJ115">
    <cfRule type="top10" dxfId="219" priority="781" rank="1"/>
  </conditionalFormatting>
  <conditionalFormatting sqref="U116:AJ116">
    <cfRule type="top10" dxfId="218" priority="780" rank="1"/>
  </conditionalFormatting>
  <conditionalFormatting sqref="U117:AJ117">
    <cfRule type="top10" dxfId="217" priority="779" rank="1"/>
  </conditionalFormatting>
  <conditionalFormatting sqref="U118:AJ118">
    <cfRule type="top10" dxfId="216" priority="778" rank="1"/>
  </conditionalFormatting>
  <conditionalFormatting sqref="U119:AJ119">
    <cfRule type="top10" dxfId="215" priority="777" rank="1"/>
  </conditionalFormatting>
  <conditionalFormatting sqref="U120:AJ120">
    <cfRule type="top10" dxfId="214" priority="776" rank="1"/>
  </conditionalFormatting>
  <conditionalFormatting sqref="U121:AJ121">
    <cfRule type="top10" dxfId="213" priority="775" rank="1"/>
  </conditionalFormatting>
  <conditionalFormatting sqref="U122:AJ122">
    <cfRule type="top10" dxfId="212" priority="774" rank="1"/>
  </conditionalFormatting>
  <conditionalFormatting sqref="U123:AJ123">
    <cfRule type="top10" dxfId="211" priority="773" rank="1"/>
  </conditionalFormatting>
  <conditionalFormatting sqref="U124:AJ124">
    <cfRule type="top10" dxfId="210" priority="772" rank="1"/>
  </conditionalFormatting>
  <conditionalFormatting sqref="U125:AJ125">
    <cfRule type="top10" dxfId="209" priority="771" rank="1"/>
  </conditionalFormatting>
  <conditionalFormatting sqref="U126:AJ126">
    <cfRule type="top10" dxfId="208" priority="770" rank="1"/>
  </conditionalFormatting>
  <conditionalFormatting sqref="U127:AJ127">
    <cfRule type="top10" dxfId="207" priority="769" rank="1"/>
  </conditionalFormatting>
  <conditionalFormatting sqref="U128:AJ128">
    <cfRule type="top10" dxfId="206" priority="768" rank="1"/>
  </conditionalFormatting>
  <conditionalFormatting sqref="U129:AJ129">
    <cfRule type="top10" dxfId="205" priority="767" rank="1"/>
  </conditionalFormatting>
  <conditionalFormatting sqref="U130:AJ130">
    <cfRule type="top10" dxfId="204" priority="766" rank="1"/>
  </conditionalFormatting>
  <conditionalFormatting sqref="U131:AJ131">
    <cfRule type="top10" dxfId="203" priority="765" rank="1"/>
  </conditionalFormatting>
  <conditionalFormatting sqref="U132:AJ132">
    <cfRule type="top10" dxfId="202" priority="764" rank="1"/>
  </conditionalFormatting>
  <conditionalFormatting sqref="U133:AJ133">
    <cfRule type="top10" dxfId="201" priority="763" rank="1"/>
  </conditionalFormatting>
  <conditionalFormatting sqref="U134:AJ134">
    <cfRule type="top10" dxfId="200" priority="762" rank="1"/>
  </conditionalFormatting>
  <conditionalFormatting sqref="U135:AJ135">
    <cfRule type="top10" dxfId="199" priority="761" rank="1"/>
  </conditionalFormatting>
  <conditionalFormatting sqref="U136:AJ136">
    <cfRule type="top10" dxfId="198" priority="760" rank="1"/>
  </conditionalFormatting>
  <conditionalFormatting sqref="U137:AJ137">
    <cfRule type="top10" dxfId="197" priority="759" rank="1"/>
  </conditionalFormatting>
  <conditionalFormatting sqref="U138:AJ138">
    <cfRule type="top10" dxfId="196" priority="758" rank="1"/>
  </conditionalFormatting>
  <conditionalFormatting sqref="U139:AJ139">
    <cfRule type="top10" dxfId="195" priority="757" rank="1"/>
  </conditionalFormatting>
  <conditionalFormatting sqref="U140:AJ140">
    <cfRule type="top10" dxfId="194" priority="756" rank="1"/>
  </conditionalFormatting>
  <conditionalFormatting sqref="U141:AJ141">
    <cfRule type="top10" dxfId="193" priority="755" rank="1"/>
  </conditionalFormatting>
  <conditionalFormatting sqref="U142:AJ142">
    <cfRule type="top10" dxfId="192" priority="754" rank="1"/>
  </conditionalFormatting>
  <conditionalFormatting sqref="U143:AJ143">
    <cfRule type="top10" dxfId="191" priority="753" rank="1"/>
  </conditionalFormatting>
  <conditionalFormatting sqref="U144:AJ144">
    <cfRule type="top10" dxfId="190" priority="752" rank="1"/>
  </conditionalFormatting>
  <conditionalFormatting sqref="U145:AJ145">
    <cfRule type="top10" dxfId="189" priority="751" rank="1"/>
  </conditionalFormatting>
  <conditionalFormatting sqref="U147:AJ147">
    <cfRule type="top10" dxfId="188" priority="750" rank="1"/>
  </conditionalFormatting>
  <conditionalFormatting sqref="U148:AJ148">
    <cfRule type="top10" dxfId="187" priority="749" rank="1"/>
  </conditionalFormatting>
  <conditionalFormatting sqref="U149:AJ149">
    <cfRule type="top10" dxfId="186" priority="748" rank="1"/>
  </conditionalFormatting>
  <conditionalFormatting sqref="U150:AJ150">
    <cfRule type="top10" dxfId="185" priority="747" rank="1"/>
  </conditionalFormatting>
  <conditionalFormatting sqref="U151:AJ151">
    <cfRule type="top10" dxfId="184" priority="746" rank="1"/>
  </conditionalFormatting>
  <conditionalFormatting sqref="U152:AJ152">
    <cfRule type="top10" dxfId="183" priority="745" rank="1"/>
  </conditionalFormatting>
  <conditionalFormatting sqref="U153:AJ153">
    <cfRule type="top10" dxfId="182" priority="744" rank="1"/>
  </conditionalFormatting>
  <conditionalFormatting sqref="U154:AJ154">
    <cfRule type="top10" dxfId="181" priority="743" rank="1"/>
  </conditionalFormatting>
  <conditionalFormatting sqref="U155:AJ155">
    <cfRule type="top10" dxfId="180" priority="742" rank="1"/>
  </conditionalFormatting>
  <conditionalFormatting sqref="U156:AJ156">
    <cfRule type="top10" dxfId="179" priority="741" rank="1"/>
  </conditionalFormatting>
  <conditionalFormatting sqref="L59">
    <cfRule type="cellIs" dxfId="178" priority="465" operator="greaterThan">
      <formula>0</formula>
    </cfRule>
  </conditionalFormatting>
  <conditionalFormatting sqref="L59">
    <cfRule type="top10" dxfId="177" priority="464" rank="1"/>
  </conditionalFormatting>
  <conditionalFormatting sqref="L60">
    <cfRule type="cellIs" dxfId="176" priority="463" operator="greaterThan">
      <formula>0</formula>
    </cfRule>
  </conditionalFormatting>
  <conditionalFormatting sqref="L60">
    <cfRule type="top10" dxfId="175" priority="462" rank="1"/>
  </conditionalFormatting>
  <conditionalFormatting sqref="L61">
    <cfRule type="cellIs" dxfId="174" priority="461" operator="greaterThan">
      <formula>0</formula>
    </cfRule>
  </conditionalFormatting>
  <conditionalFormatting sqref="L61">
    <cfRule type="top10" dxfId="173" priority="460" rank="1"/>
  </conditionalFormatting>
  <conditionalFormatting sqref="L62">
    <cfRule type="cellIs" dxfId="172" priority="459" operator="greaterThan">
      <formula>0</formula>
    </cfRule>
  </conditionalFormatting>
  <conditionalFormatting sqref="L62">
    <cfRule type="top10" dxfId="171" priority="458" rank="1"/>
  </conditionalFormatting>
  <conditionalFormatting sqref="L64">
    <cfRule type="cellIs" dxfId="170" priority="457" operator="greaterThan">
      <formula>0</formula>
    </cfRule>
  </conditionalFormatting>
  <conditionalFormatting sqref="L64">
    <cfRule type="top10" dxfId="169" priority="456" rank="1"/>
  </conditionalFormatting>
  <conditionalFormatting sqref="L66">
    <cfRule type="cellIs" dxfId="168" priority="455" operator="greaterThan">
      <formula>0</formula>
    </cfRule>
  </conditionalFormatting>
  <conditionalFormatting sqref="L66">
    <cfRule type="top10" dxfId="167" priority="454" rank="1"/>
  </conditionalFormatting>
  <conditionalFormatting sqref="L67">
    <cfRule type="cellIs" dxfId="166" priority="453" operator="greaterThan">
      <formula>0</formula>
    </cfRule>
  </conditionalFormatting>
  <conditionalFormatting sqref="L67">
    <cfRule type="top10" dxfId="165" priority="452" rank="1"/>
  </conditionalFormatting>
  <conditionalFormatting sqref="L69">
    <cfRule type="cellIs" dxfId="164" priority="451" operator="greaterThan">
      <formula>0</formula>
    </cfRule>
  </conditionalFormatting>
  <conditionalFormatting sqref="L69">
    <cfRule type="top10" dxfId="163" priority="450" rank="1"/>
  </conditionalFormatting>
  <conditionalFormatting sqref="L70">
    <cfRule type="cellIs" dxfId="162" priority="449" operator="greaterThan">
      <formula>0</formula>
    </cfRule>
  </conditionalFormatting>
  <conditionalFormatting sqref="L70">
    <cfRule type="top10" dxfId="161" priority="448" rank="1"/>
  </conditionalFormatting>
  <conditionalFormatting sqref="L71">
    <cfRule type="cellIs" dxfId="160" priority="447" operator="greaterThan">
      <formula>0</formula>
    </cfRule>
  </conditionalFormatting>
  <conditionalFormatting sqref="L71">
    <cfRule type="top10" dxfId="159" priority="446" rank="1"/>
  </conditionalFormatting>
  <conditionalFormatting sqref="L72">
    <cfRule type="cellIs" dxfId="158" priority="445" operator="greaterThan">
      <formula>0</formula>
    </cfRule>
  </conditionalFormatting>
  <conditionalFormatting sqref="L72">
    <cfRule type="top10" dxfId="157" priority="444" rank="1"/>
  </conditionalFormatting>
  <conditionalFormatting sqref="L73">
    <cfRule type="cellIs" dxfId="156" priority="443" operator="greaterThan">
      <formula>0</formula>
    </cfRule>
  </conditionalFormatting>
  <conditionalFormatting sqref="L73">
    <cfRule type="top10" dxfId="155" priority="442" rank="1"/>
  </conditionalFormatting>
  <conditionalFormatting sqref="L74">
    <cfRule type="cellIs" dxfId="154" priority="441" operator="greaterThan">
      <formula>0</formula>
    </cfRule>
  </conditionalFormatting>
  <conditionalFormatting sqref="L74">
    <cfRule type="top10" dxfId="153" priority="440" rank="1"/>
  </conditionalFormatting>
  <conditionalFormatting sqref="L75">
    <cfRule type="cellIs" dxfId="152" priority="439" operator="greaterThan">
      <formula>0</formula>
    </cfRule>
  </conditionalFormatting>
  <conditionalFormatting sqref="L75">
    <cfRule type="top10" dxfId="151" priority="438" rank="1"/>
  </conditionalFormatting>
  <conditionalFormatting sqref="L76">
    <cfRule type="cellIs" dxfId="150" priority="437" operator="greaterThan">
      <formula>0</formula>
    </cfRule>
  </conditionalFormatting>
  <conditionalFormatting sqref="L76">
    <cfRule type="top10" dxfId="149" priority="436" rank="1"/>
  </conditionalFormatting>
  <conditionalFormatting sqref="L77">
    <cfRule type="cellIs" dxfId="148" priority="435" operator="greaterThan">
      <formula>0</formula>
    </cfRule>
  </conditionalFormatting>
  <conditionalFormatting sqref="L77">
    <cfRule type="top10" dxfId="147" priority="434" rank="1"/>
  </conditionalFormatting>
  <conditionalFormatting sqref="L78">
    <cfRule type="cellIs" dxfId="146" priority="433" operator="greaterThan">
      <formula>0</formula>
    </cfRule>
  </conditionalFormatting>
  <conditionalFormatting sqref="L78">
    <cfRule type="top10" dxfId="145" priority="432" rank="1"/>
  </conditionalFormatting>
  <conditionalFormatting sqref="L79">
    <cfRule type="cellIs" dxfId="144" priority="431" operator="greaterThan">
      <formula>0</formula>
    </cfRule>
  </conditionalFormatting>
  <conditionalFormatting sqref="L79">
    <cfRule type="top10" dxfId="143" priority="430" rank="1"/>
  </conditionalFormatting>
  <conditionalFormatting sqref="L80">
    <cfRule type="cellIs" dxfId="142" priority="429" operator="greaterThan">
      <formula>0</formula>
    </cfRule>
  </conditionalFormatting>
  <conditionalFormatting sqref="L80">
    <cfRule type="top10" dxfId="141" priority="428" rank="1"/>
  </conditionalFormatting>
  <conditionalFormatting sqref="L81">
    <cfRule type="cellIs" dxfId="140" priority="427" operator="greaterThan">
      <formula>0</formula>
    </cfRule>
  </conditionalFormatting>
  <conditionalFormatting sqref="L81">
    <cfRule type="top10" dxfId="139" priority="426" rank="1"/>
  </conditionalFormatting>
  <conditionalFormatting sqref="L82">
    <cfRule type="cellIs" dxfId="138" priority="425" operator="greaterThan">
      <formula>0</formula>
    </cfRule>
  </conditionalFormatting>
  <conditionalFormatting sqref="L82">
    <cfRule type="top10" dxfId="137" priority="424" rank="1"/>
  </conditionalFormatting>
  <conditionalFormatting sqref="L83">
    <cfRule type="cellIs" dxfId="136" priority="423" operator="greaterThan">
      <formula>0</formula>
    </cfRule>
  </conditionalFormatting>
  <conditionalFormatting sqref="L83">
    <cfRule type="top10" dxfId="135" priority="422" rank="1"/>
  </conditionalFormatting>
  <conditionalFormatting sqref="L84">
    <cfRule type="cellIs" dxfId="134" priority="421" operator="greaterThan">
      <formula>0</formula>
    </cfRule>
  </conditionalFormatting>
  <conditionalFormatting sqref="L84">
    <cfRule type="top10" dxfId="133" priority="420" rank="1"/>
  </conditionalFormatting>
  <conditionalFormatting sqref="L85">
    <cfRule type="cellIs" dxfId="132" priority="419" operator="greaterThan">
      <formula>0</formula>
    </cfRule>
  </conditionalFormatting>
  <conditionalFormatting sqref="L85">
    <cfRule type="top10" dxfId="131" priority="418" rank="1"/>
  </conditionalFormatting>
  <conditionalFormatting sqref="L87">
    <cfRule type="cellIs" dxfId="130" priority="417" operator="greaterThan">
      <formula>0</formula>
    </cfRule>
  </conditionalFormatting>
  <conditionalFormatting sqref="L87">
    <cfRule type="top10" dxfId="129" priority="416" rank="1"/>
  </conditionalFormatting>
  <conditionalFormatting sqref="L88">
    <cfRule type="cellIs" dxfId="128" priority="415" operator="greaterThan">
      <formula>0</formula>
    </cfRule>
  </conditionalFormatting>
  <conditionalFormatting sqref="L88">
    <cfRule type="top10" dxfId="127" priority="414" rank="1"/>
  </conditionalFormatting>
  <conditionalFormatting sqref="L90">
    <cfRule type="cellIs" dxfId="126" priority="413" operator="greaterThan">
      <formula>0</formula>
    </cfRule>
  </conditionalFormatting>
  <conditionalFormatting sqref="L90">
    <cfRule type="top10" dxfId="125" priority="412" rank="1"/>
  </conditionalFormatting>
  <conditionalFormatting sqref="L92">
    <cfRule type="cellIs" dxfId="124" priority="411" operator="greaterThan">
      <formula>0</formula>
    </cfRule>
  </conditionalFormatting>
  <conditionalFormatting sqref="L92">
    <cfRule type="top10" dxfId="123" priority="410" rank="1"/>
  </conditionalFormatting>
  <conditionalFormatting sqref="L93">
    <cfRule type="cellIs" dxfId="122" priority="409" operator="greaterThan">
      <formula>0</formula>
    </cfRule>
  </conditionalFormatting>
  <conditionalFormatting sqref="L93">
    <cfRule type="top10" dxfId="121" priority="408" rank="1"/>
  </conditionalFormatting>
  <conditionalFormatting sqref="L95">
    <cfRule type="cellIs" dxfId="120" priority="407" operator="greaterThan">
      <formula>0</formula>
    </cfRule>
  </conditionalFormatting>
  <conditionalFormatting sqref="L95">
    <cfRule type="top10" dxfId="119" priority="406" rank="1"/>
  </conditionalFormatting>
  <conditionalFormatting sqref="L96">
    <cfRule type="cellIs" dxfId="118" priority="405" operator="greaterThan">
      <formula>0</formula>
    </cfRule>
  </conditionalFormatting>
  <conditionalFormatting sqref="L96">
    <cfRule type="top10" dxfId="117" priority="404" rank="1"/>
  </conditionalFormatting>
  <conditionalFormatting sqref="L97">
    <cfRule type="cellIs" dxfId="116" priority="403" operator="greaterThan">
      <formula>0</formula>
    </cfRule>
  </conditionalFormatting>
  <conditionalFormatting sqref="L97">
    <cfRule type="top10" dxfId="115" priority="402" rank="1"/>
  </conditionalFormatting>
  <conditionalFormatting sqref="L99">
    <cfRule type="cellIs" dxfId="114" priority="401" operator="greaterThan">
      <formula>0</formula>
    </cfRule>
  </conditionalFormatting>
  <conditionalFormatting sqref="L99">
    <cfRule type="top10" dxfId="113" priority="400" rank="1"/>
  </conditionalFormatting>
  <conditionalFormatting sqref="L100">
    <cfRule type="cellIs" dxfId="112" priority="399" operator="greaterThan">
      <formula>0</formula>
    </cfRule>
  </conditionalFormatting>
  <conditionalFormatting sqref="L100">
    <cfRule type="top10" dxfId="111" priority="398" rank="1"/>
  </conditionalFormatting>
  <conditionalFormatting sqref="L101">
    <cfRule type="cellIs" dxfId="110" priority="397" operator="greaterThan">
      <formula>0</formula>
    </cfRule>
  </conditionalFormatting>
  <conditionalFormatting sqref="L101">
    <cfRule type="top10" dxfId="109" priority="396" rank="1"/>
  </conditionalFormatting>
  <conditionalFormatting sqref="L102">
    <cfRule type="cellIs" dxfId="108" priority="395" operator="greaterThan">
      <formula>0</formula>
    </cfRule>
  </conditionalFormatting>
  <conditionalFormatting sqref="L102">
    <cfRule type="top10" dxfId="107" priority="394" rank="1"/>
  </conditionalFormatting>
  <conditionalFormatting sqref="L103">
    <cfRule type="cellIs" dxfId="106" priority="393" operator="greaterThan">
      <formula>0</formula>
    </cfRule>
  </conditionalFormatting>
  <conditionalFormatting sqref="L103">
    <cfRule type="top10" dxfId="105" priority="392" rank="1"/>
  </conditionalFormatting>
  <conditionalFormatting sqref="L104">
    <cfRule type="cellIs" dxfId="104" priority="391" operator="greaterThan">
      <formula>0</formula>
    </cfRule>
  </conditionalFormatting>
  <conditionalFormatting sqref="L104">
    <cfRule type="top10" dxfId="103" priority="390" rank="1"/>
  </conditionalFormatting>
  <conditionalFormatting sqref="L105">
    <cfRule type="cellIs" dxfId="102" priority="389" operator="greaterThan">
      <formula>0</formula>
    </cfRule>
  </conditionalFormatting>
  <conditionalFormatting sqref="L105">
    <cfRule type="top10" dxfId="101" priority="388" rank="1"/>
  </conditionalFormatting>
  <conditionalFormatting sqref="L106">
    <cfRule type="cellIs" dxfId="100" priority="387" operator="greaterThan">
      <formula>0</formula>
    </cfRule>
  </conditionalFormatting>
  <conditionalFormatting sqref="L106">
    <cfRule type="top10" dxfId="99" priority="386" rank="1"/>
  </conditionalFormatting>
  <conditionalFormatting sqref="L107">
    <cfRule type="cellIs" dxfId="98" priority="385" operator="greaterThan">
      <formula>0</formula>
    </cfRule>
  </conditionalFormatting>
  <conditionalFormatting sqref="L107">
    <cfRule type="top10" dxfId="97" priority="384" rank="1"/>
  </conditionalFormatting>
  <conditionalFormatting sqref="L108">
    <cfRule type="cellIs" dxfId="96" priority="383" operator="greaterThan">
      <formula>0</formula>
    </cfRule>
  </conditionalFormatting>
  <conditionalFormatting sqref="L108">
    <cfRule type="top10" dxfId="95" priority="382" rank="1"/>
  </conditionalFormatting>
  <conditionalFormatting sqref="L109">
    <cfRule type="cellIs" dxfId="94" priority="381" operator="greaterThan">
      <formula>0</formula>
    </cfRule>
  </conditionalFormatting>
  <conditionalFormatting sqref="L109">
    <cfRule type="top10" dxfId="93" priority="380" rank="1"/>
  </conditionalFormatting>
  <conditionalFormatting sqref="L110">
    <cfRule type="cellIs" dxfId="92" priority="379" operator="greaterThan">
      <formula>0</formula>
    </cfRule>
  </conditionalFormatting>
  <conditionalFormatting sqref="L110">
    <cfRule type="top10" dxfId="91" priority="378" rank="1"/>
  </conditionalFormatting>
  <conditionalFormatting sqref="L111">
    <cfRule type="cellIs" dxfId="90" priority="377" operator="greaterThan">
      <formula>0</formula>
    </cfRule>
  </conditionalFormatting>
  <conditionalFormatting sqref="L111">
    <cfRule type="top10" dxfId="89" priority="376" rank="1"/>
  </conditionalFormatting>
  <conditionalFormatting sqref="L112">
    <cfRule type="cellIs" dxfId="88" priority="375" operator="greaterThan">
      <formula>0</formula>
    </cfRule>
  </conditionalFormatting>
  <conditionalFormatting sqref="L112">
    <cfRule type="top10" dxfId="87" priority="374" rank="1"/>
  </conditionalFormatting>
  <conditionalFormatting sqref="L113">
    <cfRule type="cellIs" dxfId="86" priority="373" operator="greaterThan">
      <formula>0</formula>
    </cfRule>
  </conditionalFormatting>
  <conditionalFormatting sqref="L113">
    <cfRule type="top10" dxfId="85" priority="372" rank="1"/>
  </conditionalFormatting>
  <conditionalFormatting sqref="L114">
    <cfRule type="cellIs" dxfId="84" priority="371" operator="greaterThan">
      <formula>0</formula>
    </cfRule>
  </conditionalFormatting>
  <conditionalFormatting sqref="L114">
    <cfRule type="top10" dxfId="83" priority="370" rank="1"/>
  </conditionalFormatting>
  <conditionalFormatting sqref="L115">
    <cfRule type="cellIs" dxfId="82" priority="369" operator="greaterThan">
      <formula>0</formula>
    </cfRule>
  </conditionalFormatting>
  <conditionalFormatting sqref="L115">
    <cfRule type="top10" dxfId="81" priority="368" rank="1"/>
  </conditionalFormatting>
  <conditionalFormatting sqref="L116">
    <cfRule type="cellIs" dxfId="80" priority="367" operator="greaterThan">
      <formula>0</formula>
    </cfRule>
  </conditionalFormatting>
  <conditionalFormatting sqref="L116">
    <cfRule type="top10" dxfId="79" priority="366" rank="1"/>
  </conditionalFormatting>
  <conditionalFormatting sqref="L117">
    <cfRule type="cellIs" dxfId="78" priority="365" operator="greaterThan">
      <formula>0</formula>
    </cfRule>
  </conditionalFormatting>
  <conditionalFormatting sqref="L117">
    <cfRule type="top10" dxfId="77" priority="364" rank="1"/>
  </conditionalFormatting>
  <conditionalFormatting sqref="L118">
    <cfRule type="cellIs" dxfId="76" priority="363" operator="greaterThan">
      <formula>0</formula>
    </cfRule>
  </conditionalFormatting>
  <conditionalFormatting sqref="L118">
    <cfRule type="top10" dxfId="75" priority="362" rank="1"/>
  </conditionalFormatting>
  <conditionalFormatting sqref="L119">
    <cfRule type="cellIs" dxfId="74" priority="361" operator="greaterThan">
      <formula>0</formula>
    </cfRule>
  </conditionalFormatting>
  <conditionalFormatting sqref="L119">
    <cfRule type="top10" dxfId="73" priority="360" rank="1"/>
  </conditionalFormatting>
  <conditionalFormatting sqref="L120">
    <cfRule type="cellIs" dxfId="72" priority="359" operator="greaterThan">
      <formula>0</formula>
    </cfRule>
  </conditionalFormatting>
  <conditionalFormatting sqref="L120">
    <cfRule type="top10" dxfId="71" priority="358" rank="1"/>
  </conditionalFormatting>
  <conditionalFormatting sqref="L121">
    <cfRule type="cellIs" dxfId="70" priority="357" operator="greaterThan">
      <formula>0</formula>
    </cfRule>
  </conditionalFormatting>
  <conditionalFormatting sqref="L121">
    <cfRule type="top10" dxfId="69" priority="356" rank="1"/>
  </conditionalFormatting>
  <conditionalFormatting sqref="L122">
    <cfRule type="cellIs" dxfId="68" priority="355" operator="greaterThan">
      <formula>0</formula>
    </cfRule>
  </conditionalFormatting>
  <conditionalFormatting sqref="L122">
    <cfRule type="top10" dxfId="67" priority="354" rank="1"/>
  </conditionalFormatting>
  <conditionalFormatting sqref="L123">
    <cfRule type="cellIs" dxfId="66" priority="353" operator="greaterThan">
      <formula>0</formula>
    </cfRule>
  </conditionalFormatting>
  <conditionalFormatting sqref="L123">
    <cfRule type="top10" dxfId="65" priority="352" rank="1"/>
  </conditionalFormatting>
  <conditionalFormatting sqref="L124">
    <cfRule type="cellIs" dxfId="64" priority="351" operator="greaterThan">
      <formula>0</formula>
    </cfRule>
  </conditionalFormatting>
  <conditionalFormatting sqref="L124">
    <cfRule type="top10" dxfId="63" priority="350" rank="1"/>
  </conditionalFormatting>
  <conditionalFormatting sqref="L125">
    <cfRule type="cellIs" dxfId="62" priority="349" operator="greaterThan">
      <formula>0</formula>
    </cfRule>
  </conditionalFormatting>
  <conditionalFormatting sqref="L125">
    <cfRule type="top10" dxfId="61" priority="348" rank="1"/>
  </conditionalFormatting>
  <conditionalFormatting sqref="L126">
    <cfRule type="cellIs" dxfId="60" priority="347" operator="greaterThan">
      <formula>0</formula>
    </cfRule>
  </conditionalFormatting>
  <conditionalFormatting sqref="L126">
    <cfRule type="top10" dxfId="59" priority="346" rank="1"/>
  </conditionalFormatting>
  <conditionalFormatting sqref="L127">
    <cfRule type="cellIs" dxfId="58" priority="345" operator="greaterThan">
      <formula>0</formula>
    </cfRule>
  </conditionalFormatting>
  <conditionalFormatting sqref="L127">
    <cfRule type="top10" dxfId="57" priority="344" rank="1"/>
  </conditionalFormatting>
  <conditionalFormatting sqref="L128">
    <cfRule type="cellIs" dxfId="56" priority="343" operator="greaterThan">
      <formula>0</formula>
    </cfRule>
  </conditionalFormatting>
  <conditionalFormatting sqref="L128">
    <cfRule type="top10" dxfId="55" priority="342" rank="1"/>
  </conditionalFormatting>
  <conditionalFormatting sqref="L129">
    <cfRule type="cellIs" dxfId="54" priority="341" operator="greaterThan">
      <formula>0</formula>
    </cfRule>
  </conditionalFormatting>
  <conditionalFormatting sqref="L129">
    <cfRule type="top10" dxfId="53" priority="340" rank="1"/>
  </conditionalFormatting>
  <conditionalFormatting sqref="L130">
    <cfRule type="cellIs" dxfId="52" priority="339" operator="greaterThan">
      <formula>0</formula>
    </cfRule>
  </conditionalFormatting>
  <conditionalFormatting sqref="L130">
    <cfRule type="top10" dxfId="51" priority="338" rank="1"/>
  </conditionalFormatting>
  <conditionalFormatting sqref="L131">
    <cfRule type="cellIs" dxfId="50" priority="337" operator="greaterThan">
      <formula>0</formula>
    </cfRule>
  </conditionalFormatting>
  <conditionalFormatting sqref="L131">
    <cfRule type="top10" dxfId="49" priority="336" rank="1"/>
  </conditionalFormatting>
  <conditionalFormatting sqref="L132">
    <cfRule type="cellIs" dxfId="48" priority="335" operator="greaterThan">
      <formula>0</formula>
    </cfRule>
  </conditionalFormatting>
  <conditionalFormatting sqref="L132">
    <cfRule type="top10" dxfId="47" priority="334" rank="1"/>
  </conditionalFormatting>
  <conditionalFormatting sqref="L133">
    <cfRule type="cellIs" dxfId="46" priority="333" operator="greaterThan">
      <formula>0</formula>
    </cfRule>
  </conditionalFormatting>
  <conditionalFormatting sqref="L133">
    <cfRule type="top10" dxfId="45" priority="332" rank="1"/>
  </conditionalFormatting>
  <conditionalFormatting sqref="L134">
    <cfRule type="cellIs" dxfId="44" priority="331" operator="greaterThan">
      <formula>0</formula>
    </cfRule>
  </conditionalFormatting>
  <conditionalFormatting sqref="L134">
    <cfRule type="top10" dxfId="43" priority="330" rank="1"/>
  </conditionalFormatting>
  <conditionalFormatting sqref="L135">
    <cfRule type="cellIs" dxfId="42" priority="329" operator="greaterThan">
      <formula>0</formula>
    </cfRule>
  </conditionalFormatting>
  <conditionalFormatting sqref="L135">
    <cfRule type="top10" dxfId="41" priority="328" rank="1"/>
  </conditionalFormatting>
  <conditionalFormatting sqref="L136">
    <cfRule type="cellIs" dxfId="40" priority="327" operator="greaterThan">
      <formula>0</formula>
    </cfRule>
  </conditionalFormatting>
  <conditionalFormatting sqref="L136">
    <cfRule type="top10" dxfId="39" priority="326" rank="1"/>
  </conditionalFormatting>
  <conditionalFormatting sqref="L137">
    <cfRule type="cellIs" dxfId="38" priority="325" operator="greaterThan">
      <formula>0</formula>
    </cfRule>
  </conditionalFormatting>
  <conditionalFormatting sqref="L137">
    <cfRule type="top10" dxfId="37" priority="324" rank="1"/>
  </conditionalFormatting>
  <conditionalFormatting sqref="L138">
    <cfRule type="cellIs" dxfId="36" priority="323" operator="greaterThan">
      <formula>0</formula>
    </cfRule>
  </conditionalFormatting>
  <conditionalFormatting sqref="L138">
    <cfRule type="top10" dxfId="35" priority="322" rank="1"/>
  </conditionalFormatting>
  <conditionalFormatting sqref="L139">
    <cfRule type="cellIs" dxfId="34" priority="321" operator="greaterThan">
      <formula>0</formula>
    </cfRule>
  </conditionalFormatting>
  <conditionalFormatting sqref="L139">
    <cfRule type="top10" dxfId="33" priority="320" rank="1"/>
  </conditionalFormatting>
  <conditionalFormatting sqref="L140">
    <cfRule type="cellIs" dxfId="32" priority="319" operator="greaterThan">
      <formula>0</formula>
    </cfRule>
  </conditionalFormatting>
  <conditionalFormatting sqref="L140">
    <cfRule type="top10" dxfId="31" priority="318" rank="1"/>
  </conditionalFormatting>
  <conditionalFormatting sqref="L141">
    <cfRule type="cellIs" dxfId="30" priority="317" operator="greaterThan">
      <formula>0</formula>
    </cfRule>
  </conditionalFormatting>
  <conditionalFormatting sqref="L141">
    <cfRule type="top10" dxfId="29" priority="316" rank="1"/>
  </conditionalFormatting>
  <conditionalFormatting sqref="L142">
    <cfRule type="cellIs" dxfId="28" priority="315" operator="greaterThan">
      <formula>0</formula>
    </cfRule>
  </conditionalFormatting>
  <conditionalFormatting sqref="L142">
    <cfRule type="top10" dxfId="27" priority="314" rank="1"/>
  </conditionalFormatting>
  <conditionalFormatting sqref="L143">
    <cfRule type="cellIs" dxfId="26" priority="313" operator="greaterThan">
      <formula>0</formula>
    </cfRule>
  </conditionalFormatting>
  <conditionalFormatting sqref="L143">
    <cfRule type="top10" dxfId="25" priority="312" rank="1"/>
  </conditionalFormatting>
  <conditionalFormatting sqref="L144">
    <cfRule type="cellIs" dxfId="24" priority="311" operator="greaterThan">
      <formula>0</formula>
    </cfRule>
  </conditionalFormatting>
  <conditionalFormatting sqref="L144">
    <cfRule type="top10" dxfId="23" priority="310" rank="1"/>
  </conditionalFormatting>
  <conditionalFormatting sqref="L145">
    <cfRule type="cellIs" dxfId="22" priority="309" operator="greaterThan">
      <formula>0</formula>
    </cfRule>
  </conditionalFormatting>
  <conditionalFormatting sqref="L145">
    <cfRule type="top10" dxfId="21" priority="308" rank="1"/>
  </conditionalFormatting>
  <conditionalFormatting sqref="L147">
    <cfRule type="cellIs" dxfId="20" priority="307" operator="greaterThan">
      <formula>0</formula>
    </cfRule>
  </conditionalFormatting>
  <conditionalFormatting sqref="L147">
    <cfRule type="top10" dxfId="19" priority="306" rank="1"/>
  </conditionalFormatting>
  <conditionalFormatting sqref="L148">
    <cfRule type="cellIs" dxfId="18" priority="305" operator="greaterThan">
      <formula>0</formula>
    </cfRule>
  </conditionalFormatting>
  <conditionalFormatting sqref="L148">
    <cfRule type="top10" dxfId="17" priority="304" rank="1"/>
  </conditionalFormatting>
  <conditionalFormatting sqref="L149">
    <cfRule type="cellIs" dxfId="16" priority="303" operator="greaterThan">
      <formula>0</formula>
    </cfRule>
  </conditionalFormatting>
  <conditionalFormatting sqref="L149">
    <cfRule type="top10" dxfId="15" priority="302" rank="1"/>
  </conditionalFormatting>
  <conditionalFormatting sqref="L150">
    <cfRule type="cellIs" dxfId="14" priority="301" operator="greaterThan">
      <formula>0</formula>
    </cfRule>
  </conditionalFormatting>
  <conditionalFormatting sqref="L150">
    <cfRule type="top10" dxfId="13" priority="300" rank="1"/>
  </conditionalFormatting>
  <conditionalFormatting sqref="L151">
    <cfRule type="cellIs" dxfId="12" priority="299" operator="greaterThan">
      <formula>0</formula>
    </cfRule>
  </conditionalFormatting>
  <conditionalFormatting sqref="L151">
    <cfRule type="top10" dxfId="11" priority="298" rank="1"/>
  </conditionalFormatting>
  <conditionalFormatting sqref="L152">
    <cfRule type="cellIs" dxfId="10" priority="297" operator="greaterThan">
      <formula>0</formula>
    </cfRule>
  </conditionalFormatting>
  <conditionalFormatting sqref="L152">
    <cfRule type="top10" dxfId="9" priority="296" rank="1"/>
  </conditionalFormatting>
  <conditionalFormatting sqref="L153">
    <cfRule type="cellIs" dxfId="8" priority="295" operator="greaterThan">
      <formula>0</formula>
    </cfRule>
  </conditionalFormatting>
  <conditionalFormatting sqref="L153">
    <cfRule type="top10" dxfId="7" priority="294" rank="1"/>
  </conditionalFormatting>
  <conditionalFormatting sqref="L154">
    <cfRule type="cellIs" dxfId="6" priority="293" operator="greaterThan">
      <formula>0</formula>
    </cfRule>
  </conditionalFormatting>
  <conditionalFormatting sqref="L154">
    <cfRule type="top10" dxfId="5" priority="292" rank="1"/>
  </conditionalFormatting>
  <conditionalFormatting sqref="L155">
    <cfRule type="cellIs" dxfId="4" priority="291" operator="greaterThan">
      <formula>0</formula>
    </cfRule>
  </conditionalFormatting>
  <conditionalFormatting sqref="L155">
    <cfRule type="top10" dxfId="3" priority="290" rank="1"/>
  </conditionalFormatting>
  <conditionalFormatting sqref="L156">
    <cfRule type="cellIs" dxfId="2" priority="289" operator="greaterThan">
      <formula>0</formula>
    </cfRule>
  </conditionalFormatting>
  <conditionalFormatting sqref="L156">
    <cfRule type="top10" dxfId="1" priority="288" rank="1"/>
  </conditionalFormatting>
  <conditionalFormatting sqref="G2:G156">
    <cfRule type="containsText" dxfId="0" priority="1" operator="containsText" text="CFM">
      <formula>NOT(ISERROR(SEARCH("CFM",G2)))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312E-5AB6-4288-BFA3-4D4BEA144FAC}">
  <sheetPr>
    <tabColor rgb="FFF584ED"/>
  </sheetPr>
  <dimension ref="A1:BD167"/>
  <sheetViews>
    <sheetView topLeftCell="A135" workbookViewId="0">
      <selection activeCell="H2" sqref="H2:H156"/>
    </sheetView>
  </sheetViews>
  <sheetFormatPr defaultRowHeight="15"/>
  <cols>
    <col min="1" max="1" width="11.42578125" bestFit="1" customWidth="1"/>
    <col min="2" max="2" width="17.7109375" bestFit="1" customWidth="1"/>
    <col min="3" max="3" width="11.42578125" bestFit="1" customWidth="1"/>
    <col min="5" max="5" width="14.28515625" bestFit="1" customWidth="1"/>
    <col min="7" max="7" width="9.28515625" bestFit="1" customWidth="1"/>
    <col min="8" max="8" width="9.85546875" bestFit="1" customWidth="1"/>
    <col min="11" max="11" width="22.28515625" bestFit="1" customWidth="1"/>
    <col min="12" max="12" width="21.140625" bestFit="1" customWidth="1"/>
    <col min="21" max="21" width="12.28515625" bestFit="1" customWidth="1"/>
    <col min="25" max="25" width="33.7109375" bestFit="1" customWidth="1"/>
    <col min="26" max="26" width="21" bestFit="1" customWidth="1"/>
  </cols>
  <sheetData>
    <row r="1" spans="1:5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</v>
      </c>
      <c r="L1" s="1" t="s">
        <v>33</v>
      </c>
      <c r="M1" s="1" t="s">
        <v>34</v>
      </c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</row>
    <row r="2" spans="1:56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K2" s="51">
        <v>21</v>
      </c>
      <c r="L2" s="51">
        <v>32</v>
      </c>
      <c r="M2" s="3">
        <f>((L2-K2)/K2)</f>
        <v>0.52380952380952384</v>
      </c>
      <c r="N2">
        <f>COUNT(D2:D156)</f>
        <v>155</v>
      </c>
      <c r="U2" s="2"/>
      <c r="Z2" s="2"/>
    </row>
    <row r="3" spans="1:56">
      <c r="A3" s="2">
        <v>45979</v>
      </c>
      <c r="B3" t="s">
        <v>44</v>
      </c>
      <c r="C3">
        <v>63562</v>
      </c>
      <c r="D3">
        <v>1521</v>
      </c>
      <c r="E3" t="s">
        <v>51</v>
      </c>
      <c r="F3" t="s">
        <v>46</v>
      </c>
      <c r="G3" t="s">
        <v>47</v>
      </c>
      <c r="H3" t="s">
        <v>48</v>
      </c>
      <c r="I3" t="s">
        <v>52</v>
      </c>
      <c r="K3" s="51">
        <v>21.4</v>
      </c>
      <c r="L3" s="51">
        <v>32</v>
      </c>
      <c r="M3" s="3">
        <f t="shared" ref="M3:M66" si="0">((L3-K3)/K3)</f>
        <v>0.49532710280373843</v>
      </c>
      <c r="U3" s="2"/>
      <c r="Z3" s="2"/>
    </row>
    <row r="4" spans="1:56">
      <c r="A4" s="2">
        <v>45979</v>
      </c>
      <c r="B4" t="s">
        <v>44</v>
      </c>
      <c r="C4">
        <v>63563</v>
      </c>
      <c r="D4">
        <v>1522</v>
      </c>
      <c r="E4" t="s">
        <v>53</v>
      </c>
      <c r="F4" t="s">
        <v>46</v>
      </c>
      <c r="G4" t="s">
        <v>47</v>
      </c>
      <c r="H4" t="s">
        <v>54</v>
      </c>
      <c r="I4" t="s">
        <v>55</v>
      </c>
      <c r="K4" s="51">
        <v>11.8</v>
      </c>
      <c r="L4" s="51">
        <v>15</v>
      </c>
      <c r="M4" s="3">
        <f t="shared" si="0"/>
        <v>0.27118644067796605</v>
      </c>
      <c r="U4" s="2"/>
      <c r="Z4" s="2"/>
    </row>
    <row r="5" spans="1:56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G5" t="s">
        <v>57</v>
      </c>
      <c r="H5" t="s">
        <v>54</v>
      </c>
      <c r="I5" t="s">
        <v>58</v>
      </c>
      <c r="K5" s="51">
        <v>21</v>
      </c>
      <c r="L5" s="71"/>
      <c r="M5" s="70"/>
      <c r="U5" s="2"/>
      <c r="Z5" s="2"/>
    </row>
    <row r="6" spans="1:56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G6" t="s">
        <v>57</v>
      </c>
      <c r="H6" t="s">
        <v>54</v>
      </c>
      <c r="I6" t="s">
        <v>61</v>
      </c>
      <c r="K6" s="51">
        <v>17.7</v>
      </c>
      <c r="L6" s="51">
        <v>19.100000000000001</v>
      </c>
      <c r="M6" s="3">
        <f t="shared" si="0"/>
        <v>7.9096045197740231E-2</v>
      </c>
      <c r="U6" s="2"/>
      <c r="Z6" s="2"/>
    </row>
    <row r="7" spans="1:56">
      <c r="A7" s="2">
        <v>45980</v>
      </c>
      <c r="B7" t="s">
        <v>44</v>
      </c>
      <c r="C7">
        <v>63564</v>
      </c>
      <c r="D7">
        <v>1525</v>
      </c>
      <c r="E7" t="s">
        <v>62</v>
      </c>
      <c r="F7" t="s">
        <v>46</v>
      </c>
      <c r="G7" t="s">
        <v>57</v>
      </c>
      <c r="H7" t="s">
        <v>54</v>
      </c>
      <c r="K7" s="51">
        <v>14.7</v>
      </c>
      <c r="L7" s="51">
        <v>22</v>
      </c>
      <c r="M7" s="3">
        <f t="shared" si="0"/>
        <v>0.49659863945578236</v>
      </c>
      <c r="U7" s="2"/>
      <c r="Z7" s="2"/>
    </row>
    <row r="8" spans="1:56">
      <c r="A8" s="2">
        <v>45980</v>
      </c>
      <c r="B8" t="s">
        <v>44</v>
      </c>
      <c r="C8">
        <v>63565</v>
      </c>
      <c r="D8">
        <v>1526</v>
      </c>
      <c r="E8" t="s">
        <v>63</v>
      </c>
      <c r="F8" t="s">
        <v>46</v>
      </c>
      <c r="G8" t="s">
        <v>57</v>
      </c>
      <c r="H8" t="s">
        <v>48</v>
      </c>
      <c r="K8" s="51">
        <v>23</v>
      </c>
      <c r="L8" s="51">
        <v>32</v>
      </c>
      <c r="M8" s="3">
        <f t="shared" si="0"/>
        <v>0.39130434782608697</v>
      </c>
      <c r="U8" s="2"/>
      <c r="Z8" s="2"/>
    </row>
    <row r="9" spans="1:56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G9" t="s">
        <v>57</v>
      </c>
      <c r="H9" t="s">
        <v>48</v>
      </c>
      <c r="K9" s="51">
        <v>17.8</v>
      </c>
      <c r="L9" s="71"/>
      <c r="M9" s="70"/>
      <c r="U9" s="2"/>
      <c r="Z9" s="2"/>
    </row>
    <row r="10" spans="1:56">
      <c r="A10" s="2">
        <v>45981</v>
      </c>
      <c r="B10" t="s">
        <v>44</v>
      </c>
      <c r="C10">
        <v>63552</v>
      </c>
      <c r="D10">
        <v>1528</v>
      </c>
      <c r="E10" t="s">
        <v>51</v>
      </c>
      <c r="F10" t="s">
        <v>65</v>
      </c>
      <c r="G10" t="s">
        <v>57</v>
      </c>
      <c r="H10" t="s">
        <v>48</v>
      </c>
      <c r="I10" t="s">
        <v>66</v>
      </c>
      <c r="K10" s="51">
        <v>22</v>
      </c>
      <c r="L10" s="51">
        <v>21.9</v>
      </c>
      <c r="M10" s="3">
        <f t="shared" si="0"/>
        <v>-4.5454545454546103E-3</v>
      </c>
      <c r="U10" s="2"/>
      <c r="Z10" s="2"/>
    </row>
    <row r="11" spans="1:56">
      <c r="A11" s="2">
        <v>45981</v>
      </c>
      <c r="B11" t="s">
        <v>44</v>
      </c>
      <c r="C11">
        <v>63553</v>
      </c>
      <c r="D11">
        <v>1529</v>
      </c>
      <c r="E11" t="s">
        <v>53</v>
      </c>
      <c r="F11" t="s">
        <v>65</v>
      </c>
      <c r="G11" t="s">
        <v>57</v>
      </c>
      <c r="H11" t="s">
        <v>54</v>
      </c>
      <c r="I11" t="s">
        <v>67</v>
      </c>
      <c r="K11" s="51">
        <v>17</v>
      </c>
      <c r="L11" s="51">
        <v>24</v>
      </c>
      <c r="M11" s="3">
        <f t="shared" si="0"/>
        <v>0.41176470588235292</v>
      </c>
      <c r="U11" s="2"/>
      <c r="Z11" s="2"/>
    </row>
    <row r="12" spans="1:56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G12" t="s">
        <v>47</v>
      </c>
      <c r="H12" t="s">
        <v>54</v>
      </c>
      <c r="K12" s="51">
        <v>15.9</v>
      </c>
      <c r="L12" s="51">
        <v>19</v>
      </c>
      <c r="M12" s="3">
        <f t="shared" si="0"/>
        <v>0.19496855345911948</v>
      </c>
      <c r="U12" s="2"/>
      <c r="Z12" s="2"/>
    </row>
    <row r="13" spans="1:56">
      <c r="A13" s="2">
        <v>45985</v>
      </c>
      <c r="B13" t="s">
        <v>69</v>
      </c>
      <c r="C13">
        <v>63550</v>
      </c>
      <c r="D13">
        <v>1531</v>
      </c>
      <c r="E13" t="s">
        <v>68</v>
      </c>
      <c r="F13" t="s">
        <v>65</v>
      </c>
      <c r="G13" s="19" t="s">
        <v>47</v>
      </c>
      <c r="H13" s="19" t="s">
        <v>54</v>
      </c>
      <c r="K13" s="51">
        <v>24.1</v>
      </c>
      <c r="L13" s="51">
        <v>38</v>
      </c>
      <c r="M13" s="3">
        <f t="shared" si="0"/>
        <v>0.57676348547717837</v>
      </c>
      <c r="U13" s="2"/>
      <c r="Z13" s="2"/>
    </row>
    <row r="14" spans="1:56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G14" t="s">
        <v>47</v>
      </c>
      <c r="H14" t="s">
        <v>54</v>
      </c>
      <c r="I14" t="s">
        <v>73</v>
      </c>
      <c r="K14" s="51">
        <v>14.5</v>
      </c>
      <c r="L14" s="51">
        <v>14.5</v>
      </c>
      <c r="M14" s="3">
        <f t="shared" si="0"/>
        <v>0</v>
      </c>
      <c r="U14" s="2"/>
      <c r="Z14" s="2"/>
    </row>
    <row r="15" spans="1:56">
      <c r="A15" s="2">
        <v>45985</v>
      </c>
      <c r="B15" t="s">
        <v>69</v>
      </c>
      <c r="C15">
        <v>63550</v>
      </c>
      <c r="D15">
        <v>1533</v>
      </c>
      <c r="E15" t="s">
        <v>74</v>
      </c>
      <c r="F15" t="s">
        <v>65</v>
      </c>
      <c r="G15" s="19" t="s">
        <v>47</v>
      </c>
      <c r="H15" s="19" t="s">
        <v>54</v>
      </c>
      <c r="K15" s="51">
        <v>24.3</v>
      </c>
      <c r="L15" s="51">
        <v>25.3</v>
      </c>
      <c r="M15" s="3">
        <f t="shared" si="0"/>
        <v>4.1152263374485597E-2</v>
      </c>
      <c r="U15" s="2"/>
      <c r="Z15" s="2"/>
    </row>
    <row r="16" spans="1:56">
      <c r="A16" s="2">
        <v>45985</v>
      </c>
      <c r="B16" t="s">
        <v>44</v>
      </c>
      <c r="C16">
        <v>63551</v>
      </c>
      <c r="D16">
        <v>1534</v>
      </c>
      <c r="E16" t="s">
        <v>76</v>
      </c>
      <c r="F16" t="s">
        <v>65</v>
      </c>
      <c r="G16" t="s">
        <v>47</v>
      </c>
      <c r="H16" t="s">
        <v>48</v>
      </c>
      <c r="I16" t="s">
        <v>77</v>
      </c>
      <c r="K16" s="51">
        <v>14</v>
      </c>
      <c r="L16" s="51">
        <v>14</v>
      </c>
      <c r="M16" s="3">
        <f t="shared" si="0"/>
        <v>0</v>
      </c>
      <c r="U16" s="2"/>
      <c r="Z16" s="2"/>
    </row>
    <row r="17" spans="1:26">
      <c r="A17" s="2">
        <v>46000</v>
      </c>
      <c r="B17" t="s">
        <v>69</v>
      </c>
      <c r="C17">
        <v>63542</v>
      </c>
      <c r="D17">
        <v>1536</v>
      </c>
      <c r="E17" t="s">
        <v>78</v>
      </c>
      <c r="F17" t="s">
        <v>65</v>
      </c>
      <c r="G17" s="19" t="s">
        <v>57</v>
      </c>
      <c r="H17" s="19" t="s">
        <v>48</v>
      </c>
      <c r="I17" t="s">
        <v>79</v>
      </c>
      <c r="K17" s="51">
        <v>17.600000000000001</v>
      </c>
      <c r="L17" s="51">
        <v>19.399999999999999</v>
      </c>
      <c r="M17" s="3">
        <f t="shared" si="0"/>
        <v>0.1022727272727271</v>
      </c>
      <c r="U17" s="2"/>
      <c r="Z17" s="2"/>
    </row>
    <row r="18" spans="1:26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G18" t="s">
        <v>57</v>
      </c>
      <c r="H18" t="s">
        <v>54</v>
      </c>
      <c r="I18" t="s">
        <v>81</v>
      </c>
      <c r="K18" s="51">
        <v>13.4</v>
      </c>
      <c r="L18" s="51">
        <v>13.4</v>
      </c>
      <c r="M18" s="3">
        <f t="shared" si="0"/>
        <v>0</v>
      </c>
      <c r="U18" s="2"/>
      <c r="Z18" s="2"/>
    </row>
    <row r="19" spans="1:26">
      <c r="A19" s="2">
        <v>46000</v>
      </c>
      <c r="B19" t="s">
        <v>69</v>
      </c>
      <c r="C19">
        <v>63543</v>
      </c>
      <c r="D19">
        <v>1538</v>
      </c>
      <c r="E19" t="s">
        <v>82</v>
      </c>
      <c r="F19" t="s">
        <v>65</v>
      </c>
      <c r="G19" s="19" t="s">
        <v>57</v>
      </c>
      <c r="H19" s="19" t="s">
        <v>54</v>
      </c>
      <c r="I19" t="s">
        <v>83</v>
      </c>
      <c r="K19" s="51">
        <v>14.5</v>
      </c>
      <c r="L19" s="51">
        <v>15</v>
      </c>
      <c r="M19" s="3">
        <f t="shared" si="0"/>
        <v>3.4482758620689655E-2</v>
      </c>
      <c r="U19" s="2"/>
      <c r="Z19" s="2"/>
    </row>
    <row r="20" spans="1:26">
      <c r="A20" s="2">
        <v>46000</v>
      </c>
      <c r="B20" t="s">
        <v>44</v>
      </c>
      <c r="C20">
        <v>63543</v>
      </c>
      <c r="D20">
        <v>1539</v>
      </c>
      <c r="E20" t="s">
        <v>84</v>
      </c>
      <c r="F20" t="s">
        <v>65</v>
      </c>
      <c r="G20" t="s">
        <v>57</v>
      </c>
      <c r="H20" t="s">
        <v>54</v>
      </c>
      <c r="I20" t="s">
        <v>85</v>
      </c>
      <c r="K20" s="51">
        <v>18</v>
      </c>
      <c r="L20" s="51">
        <v>18</v>
      </c>
      <c r="M20" s="3">
        <f t="shared" si="0"/>
        <v>0</v>
      </c>
      <c r="U20" s="2"/>
      <c r="Z20" s="2"/>
    </row>
    <row r="21" spans="1:26">
      <c r="A21" s="2">
        <v>46001</v>
      </c>
      <c r="B21" t="s">
        <v>69</v>
      </c>
      <c r="C21">
        <v>63558</v>
      </c>
      <c r="D21">
        <v>1540</v>
      </c>
      <c r="E21" t="s">
        <v>86</v>
      </c>
      <c r="F21" t="s">
        <v>46</v>
      </c>
      <c r="G21" t="s">
        <v>47</v>
      </c>
      <c r="H21" t="s">
        <v>54</v>
      </c>
      <c r="K21" s="51">
        <v>18.3</v>
      </c>
      <c r="L21" s="51">
        <v>19.3</v>
      </c>
      <c r="M21" s="3">
        <f t="shared" si="0"/>
        <v>5.4644808743169397E-2</v>
      </c>
      <c r="U21" s="2"/>
      <c r="Z21" s="2"/>
    </row>
    <row r="22" spans="1:26">
      <c r="A22" s="2">
        <v>46001</v>
      </c>
      <c r="B22" t="s">
        <v>69</v>
      </c>
      <c r="C22">
        <v>63559</v>
      </c>
      <c r="D22">
        <v>1541</v>
      </c>
      <c r="E22" t="s">
        <v>87</v>
      </c>
      <c r="F22" t="s">
        <v>46</v>
      </c>
      <c r="G22" s="19" t="s">
        <v>47</v>
      </c>
      <c r="H22" s="19" t="s">
        <v>48</v>
      </c>
      <c r="I22" t="s">
        <v>88</v>
      </c>
      <c r="K22" s="51">
        <v>17.100000000000001</v>
      </c>
      <c r="L22" s="71"/>
      <c r="M22" s="70"/>
      <c r="U22" s="2"/>
      <c r="Z22" s="2"/>
    </row>
    <row r="23" spans="1:26">
      <c r="A23" s="2">
        <v>46001</v>
      </c>
      <c r="B23" t="s">
        <v>90</v>
      </c>
      <c r="C23">
        <v>63559</v>
      </c>
      <c r="D23">
        <v>1542</v>
      </c>
      <c r="E23" t="s">
        <v>91</v>
      </c>
      <c r="F23" t="s">
        <v>46</v>
      </c>
      <c r="G23" s="19" t="s">
        <v>47</v>
      </c>
      <c r="H23" s="19" t="s">
        <v>48</v>
      </c>
      <c r="K23" s="51">
        <v>13</v>
      </c>
      <c r="L23" s="71"/>
      <c r="M23" s="70"/>
      <c r="U23" s="2"/>
      <c r="Z23" s="2"/>
    </row>
    <row r="24" spans="1:26">
      <c r="A24" s="2">
        <v>46002</v>
      </c>
      <c r="B24" t="s">
        <v>69</v>
      </c>
      <c r="C24">
        <v>63560</v>
      </c>
      <c r="D24">
        <v>1543</v>
      </c>
      <c r="E24" t="s">
        <v>93</v>
      </c>
      <c r="F24" t="s">
        <v>46</v>
      </c>
      <c r="G24" t="s">
        <v>57</v>
      </c>
      <c r="H24" t="s">
        <v>54</v>
      </c>
      <c r="I24" t="s">
        <v>94</v>
      </c>
      <c r="K24" s="51">
        <v>16.7</v>
      </c>
      <c r="L24" s="51">
        <v>20.8</v>
      </c>
      <c r="M24" s="3">
        <f t="shared" si="0"/>
        <v>0.24550898203592825</v>
      </c>
      <c r="U24" s="2"/>
      <c r="Z24" s="2"/>
    </row>
    <row r="25" spans="1:26">
      <c r="A25" s="2">
        <v>46002</v>
      </c>
      <c r="B25" t="s">
        <v>69</v>
      </c>
      <c r="C25">
        <v>63561</v>
      </c>
      <c r="D25">
        <v>1544</v>
      </c>
      <c r="E25" t="s">
        <v>95</v>
      </c>
      <c r="F25" t="s">
        <v>46</v>
      </c>
      <c r="G25" s="19" t="s">
        <v>57</v>
      </c>
      <c r="H25" s="19" t="s">
        <v>48</v>
      </c>
      <c r="I25" t="s">
        <v>96</v>
      </c>
      <c r="K25" s="51">
        <v>12.3</v>
      </c>
      <c r="L25" s="51">
        <v>15</v>
      </c>
      <c r="M25" s="3">
        <f t="shared" si="0"/>
        <v>0.21951219512195114</v>
      </c>
      <c r="U25" s="2"/>
      <c r="Z25" s="2"/>
    </row>
    <row r="26" spans="1:26">
      <c r="A26" s="2">
        <v>46002</v>
      </c>
      <c r="B26" t="s">
        <v>44</v>
      </c>
      <c r="C26">
        <v>63561</v>
      </c>
      <c r="D26">
        <v>1545</v>
      </c>
      <c r="E26" t="s">
        <v>97</v>
      </c>
      <c r="F26" t="s">
        <v>46</v>
      </c>
      <c r="G26" t="s">
        <v>57</v>
      </c>
      <c r="H26" t="s">
        <v>48</v>
      </c>
      <c r="K26" s="51">
        <v>30.5</v>
      </c>
      <c r="L26" s="51">
        <v>40</v>
      </c>
      <c r="M26" s="3">
        <f t="shared" si="0"/>
        <v>0.31147540983606559</v>
      </c>
      <c r="U26" s="2"/>
      <c r="Z26" s="2"/>
    </row>
    <row r="27" spans="1:26">
      <c r="A27" s="2">
        <v>46002</v>
      </c>
      <c r="B27" t="s">
        <v>90</v>
      </c>
      <c r="C27">
        <v>63560</v>
      </c>
      <c r="D27">
        <v>1546</v>
      </c>
      <c r="F27" t="s">
        <v>46</v>
      </c>
      <c r="G27" s="19" t="s">
        <v>57</v>
      </c>
      <c r="H27" s="19" t="s">
        <v>48</v>
      </c>
      <c r="K27" s="51">
        <v>26</v>
      </c>
      <c r="L27" s="71"/>
      <c r="M27" s="70"/>
      <c r="U27" s="2"/>
      <c r="Z27" s="2"/>
    </row>
    <row r="28" spans="1:26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G28" t="s">
        <v>47</v>
      </c>
      <c r="H28" t="s">
        <v>54</v>
      </c>
      <c r="I28" t="s">
        <v>100</v>
      </c>
      <c r="K28" s="51">
        <v>19.8</v>
      </c>
      <c r="L28" s="51">
        <v>22</v>
      </c>
      <c r="M28" s="3">
        <f t="shared" si="0"/>
        <v>0.11111111111111108</v>
      </c>
      <c r="U28" s="2"/>
      <c r="Z28" s="2"/>
    </row>
    <row r="29" spans="1:26">
      <c r="A29" s="2">
        <v>46003</v>
      </c>
      <c r="B29" t="s">
        <v>101</v>
      </c>
      <c r="C29">
        <v>63544</v>
      </c>
      <c r="D29">
        <v>1548</v>
      </c>
      <c r="E29" t="s">
        <v>102</v>
      </c>
      <c r="F29" t="s">
        <v>65</v>
      </c>
      <c r="G29" s="19" t="s">
        <v>47</v>
      </c>
      <c r="H29" s="19" t="s">
        <v>54</v>
      </c>
      <c r="I29" t="s">
        <v>103</v>
      </c>
      <c r="K29" s="51">
        <v>25.2</v>
      </c>
      <c r="L29" s="51">
        <v>25.2</v>
      </c>
      <c r="M29" s="3">
        <f t="shared" si="0"/>
        <v>0</v>
      </c>
      <c r="U29" s="2"/>
      <c r="Z29" s="2"/>
    </row>
    <row r="30" spans="1:26">
      <c r="A30" s="2">
        <v>46003</v>
      </c>
      <c r="B30" t="s">
        <v>90</v>
      </c>
      <c r="C30">
        <v>63544</v>
      </c>
      <c r="D30">
        <v>1549</v>
      </c>
      <c r="E30" t="s">
        <v>104</v>
      </c>
      <c r="F30" t="s">
        <v>65</v>
      </c>
      <c r="G30" t="s">
        <v>47</v>
      </c>
      <c r="H30" t="s">
        <v>54</v>
      </c>
      <c r="K30" s="51">
        <v>32</v>
      </c>
      <c r="L30" s="51">
        <v>36.9</v>
      </c>
      <c r="M30" s="3">
        <f t="shared" si="0"/>
        <v>0.15312499999999996</v>
      </c>
      <c r="U30" s="2"/>
      <c r="Z30" s="2"/>
    </row>
    <row r="31" spans="1:26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G31" t="s">
        <v>47</v>
      </c>
      <c r="H31" t="s">
        <v>48</v>
      </c>
      <c r="I31" t="s">
        <v>106</v>
      </c>
      <c r="K31" s="51">
        <v>17.8</v>
      </c>
      <c r="L31" s="51">
        <v>19.3</v>
      </c>
      <c r="M31" s="3">
        <f t="shared" si="0"/>
        <v>8.4269662921348312E-2</v>
      </c>
      <c r="U31" s="2"/>
      <c r="Z31" s="2"/>
    </row>
    <row r="32" spans="1:26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G32" t="s">
        <v>47</v>
      </c>
      <c r="H32" t="s">
        <v>108</v>
      </c>
      <c r="I32" t="s">
        <v>109</v>
      </c>
      <c r="K32" s="51">
        <v>18</v>
      </c>
      <c r="L32" s="51">
        <v>18</v>
      </c>
      <c r="M32" s="3">
        <f t="shared" si="0"/>
        <v>0</v>
      </c>
      <c r="U32" s="2"/>
      <c r="Z32" s="2"/>
    </row>
    <row r="33" spans="1:26">
      <c r="A33" s="2">
        <v>46003</v>
      </c>
      <c r="B33" t="s">
        <v>90</v>
      </c>
      <c r="C33">
        <v>63545</v>
      </c>
      <c r="D33">
        <v>1552</v>
      </c>
      <c r="E33" t="s">
        <v>110</v>
      </c>
      <c r="F33" t="s">
        <v>65</v>
      </c>
      <c r="G33" s="81" t="s">
        <v>47</v>
      </c>
      <c r="H33" s="81" t="s">
        <v>48</v>
      </c>
      <c r="K33" s="51">
        <v>28.4</v>
      </c>
      <c r="L33" s="51">
        <v>32</v>
      </c>
      <c r="M33" s="3">
        <f t="shared" si="0"/>
        <v>0.12676056338028174</v>
      </c>
      <c r="U33" s="2"/>
      <c r="Z33" s="2"/>
    </row>
    <row r="34" spans="1:26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G34" t="s">
        <v>57</v>
      </c>
      <c r="H34" t="s">
        <v>48</v>
      </c>
      <c r="K34" s="51">
        <v>16</v>
      </c>
      <c r="L34" s="51">
        <v>25.8</v>
      </c>
      <c r="M34" s="3">
        <f t="shared" si="0"/>
        <v>0.61250000000000004</v>
      </c>
    </row>
    <row r="35" spans="1:26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G35" t="s">
        <v>57</v>
      </c>
      <c r="H35" t="s">
        <v>48</v>
      </c>
      <c r="K35" s="51">
        <v>16</v>
      </c>
      <c r="L35" s="71"/>
      <c r="M35" s="70"/>
    </row>
    <row r="36" spans="1:26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G36" t="s">
        <v>57</v>
      </c>
      <c r="H36" t="s">
        <v>48</v>
      </c>
      <c r="I36" t="s">
        <v>112</v>
      </c>
      <c r="K36" s="51">
        <v>27</v>
      </c>
      <c r="L36" s="51">
        <v>27</v>
      </c>
      <c r="M36" s="3">
        <f t="shared" si="0"/>
        <v>0</v>
      </c>
    </row>
    <row r="37" spans="1:26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G37" t="s">
        <v>57</v>
      </c>
      <c r="H37" t="s">
        <v>48</v>
      </c>
      <c r="K37" s="51">
        <v>13.6</v>
      </c>
      <c r="L37" s="51">
        <v>14.4</v>
      </c>
      <c r="M37" s="3">
        <f t="shared" si="0"/>
        <v>5.8823529411764761E-2</v>
      </c>
    </row>
    <row r="38" spans="1:26">
      <c r="A38" s="2">
        <v>46007</v>
      </c>
      <c r="B38" t="s">
        <v>90</v>
      </c>
      <c r="C38">
        <v>63549</v>
      </c>
      <c r="D38">
        <v>1557</v>
      </c>
      <c r="E38" t="s">
        <v>114</v>
      </c>
      <c r="F38" t="s">
        <v>65</v>
      </c>
      <c r="G38" t="s">
        <v>57</v>
      </c>
      <c r="H38" t="s">
        <v>48</v>
      </c>
      <c r="I38" t="s">
        <v>115</v>
      </c>
      <c r="K38" s="51">
        <v>17.2</v>
      </c>
      <c r="L38" s="51">
        <v>17.2</v>
      </c>
      <c r="M38" s="3">
        <f t="shared" si="0"/>
        <v>0</v>
      </c>
    </row>
    <row r="39" spans="1:26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G39" t="s">
        <v>57</v>
      </c>
      <c r="H39" t="s">
        <v>54</v>
      </c>
      <c r="K39" s="51">
        <v>18.2</v>
      </c>
      <c r="L39" s="51">
        <v>22.8</v>
      </c>
      <c r="M39" s="3">
        <f t="shared" si="0"/>
        <v>0.25274725274725285</v>
      </c>
    </row>
    <row r="40" spans="1:26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G40" t="s">
        <v>57</v>
      </c>
      <c r="H40" t="s">
        <v>54</v>
      </c>
      <c r="K40" s="51">
        <v>30.9</v>
      </c>
      <c r="L40" s="51">
        <v>17.899999999999999</v>
      </c>
      <c r="M40" s="3">
        <f t="shared" si="0"/>
        <v>-0.42071197411003236</v>
      </c>
    </row>
    <row r="41" spans="1:26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G41" t="s">
        <v>57</v>
      </c>
      <c r="H41" t="s">
        <v>54</v>
      </c>
      <c r="I41" t="s">
        <v>119</v>
      </c>
      <c r="K41" s="51">
        <v>22.9</v>
      </c>
      <c r="L41" s="51">
        <v>28</v>
      </c>
      <c r="M41" s="3">
        <f t="shared" si="0"/>
        <v>0.2227074235807861</v>
      </c>
    </row>
    <row r="42" spans="1:26">
      <c r="A42" s="2">
        <v>46007</v>
      </c>
      <c r="B42" t="s">
        <v>90</v>
      </c>
      <c r="C42">
        <v>63546</v>
      </c>
      <c r="D42">
        <v>1561</v>
      </c>
      <c r="E42" t="s">
        <v>120</v>
      </c>
      <c r="F42" t="s">
        <v>65</v>
      </c>
      <c r="G42" s="58" t="s">
        <v>57</v>
      </c>
      <c r="H42" s="58" t="s">
        <v>54</v>
      </c>
      <c r="I42" t="s">
        <v>121</v>
      </c>
      <c r="K42" s="51">
        <v>29.3</v>
      </c>
      <c r="L42" s="51">
        <v>29.3</v>
      </c>
      <c r="M42" s="3">
        <f t="shared" si="0"/>
        <v>0</v>
      </c>
    </row>
    <row r="43" spans="1:26">
      <c r="A43" s="2">
        <v>46008</v>
      </c>
      <c r="B43" t="s">
        <v>90</v>
      </c>
      <c r="C43">
        <v>63554</v>
      </c>
      <c r="D43">
        <v>1562</v>
      </c>
      <c r="E43" t="s">
        <v>91</v>
      </c>
      <c r="F43" t="s">
        <v>46</v>
      </c>
      <c r="G43" s="19" t="s">
        <v>57</v>
      </c>
      <c r="H43" s="19" t="s">
        <v>54</v>
      </c>
      <c r="K43" s="51">
        <v>28</v>
      </c>
      <c r="L43" s="51">
        <v>28</v>
      </c>
      <c r="M43" s="3">
        <f t="shared" si="0"/>
        <v>0</v>
      </c>
    </row>
    <row r="44" spans="1:26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G44" t="s">
        <v>57</v>
      </c>
      <c r="H44" t="s">
        <v>54</v>
      </c>
      <c r="I44" t="s">
        <v>123</v>
      </c>
      <c r="K44" s="51">
        <v>22</v>
      </c>
      <c r="L44" s="51">
        <v>22</v>
      </c>
      <c r="M44" s="3">
        <f t="shared" si="0"/>
        <v>0</v>
      </c>
    </row>
    <row r="45" spans="1:26">
      <c r="A45" s="2">
        <v>46008</v>
      </c>
      <c r="B45" t="s">
        <v>44</v>
      </c>
      <c r="C45">
        <v>63554</v>
      </c>
      <c r="D45">
        <v>1564</v>
      </c>
      <c r="E45" t="s">
        <v>124</v>
      </c>
      <c r="F45" t="s">
        <v>46</v>
      </c>
      <c r="G45" t="s">
        <v>57</v>
      </c>
      <c r="H45" t="s">
        <v>54</v>
      </c>
      <c r="I45" t="s">
        <v>125</v>
      </c>
      <c r="K45" s="51">
        <v>19.600000000000001</v>
      </c>
      <c r="L45" s="51">
        <v>19.600000000000001</v>
      </c>
      <c r="M45" s="3">
        <f t="shared" si="0"/>
        <v>0</v>
      </c>
    </row>
    <row r="46" spans="1:26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G46" t="s">
        <v>57</v>
      </c>
      <c r="H46" t="s">
        <v>48</v>
      </c>
      <c r="I46" t="s">
        <v>127</v>
      </c>
      <c r="K46" s="51">
        <v>15</v>
      </c>
      <c r="L46" s="51">
        <v>15</v>
      </c>
      <c r="M46" s="3">
        <f t="shared" si="0"/>
        <v>0</v>
      </c>
    </row>
    <row r="47" spans="1:26">
      <c r="A47" s="2">
        <v>46008</v>
      </c>
      <c r="B47" t="s">
        <v>90</v>
      </c>
      <c r="C47">
        <v>63555</v>
      </c>
      <c r="D47">
        <v>1566</v>
      </c>
      <c r="E47" t="s">
        <v>104</v>
      </c>
      <c r="F47" t="s">
        <v>46</v>
      </c>
      <c r="G47" s="19" t="s">
        <v>57</v>
      </c>
      <c r="H47" s="19" t="s">
        <v>48</v>
      </c>
      <c r="K47" s="51">
        <v>23</v>
      </c>
      <c r="L47" s="51">
        <v>23</v>
      </c>
      <c r="M47" s="3">
        <f t="shared" si="0"/>
        <v>0</v>
      </c>
    </row>
    <row r="48" spans="1:26">
      <c r="A48" s="2">
        <v>46008</v>
      </c>
      <c r="B48" t="s">
        <v>90</v>
      </c>
      <c r="C48">
        <v>63555</v>
      </c>
      <c r="D48">
        <v>1567</v>
      </c>
      <c r="E48" t="s">
        <v>110</v>
      </c>
      <c r="F48" t="s">
        <v>46</v>
      </c>
      <c r="G48" t="s">
        <v>57</v>
      </c>
      <c r="H48" t="s">
        <v>48</v>
      </c>
      <c r="K48" s="51">
        <v>14</v>
      </c>
      <c r="L48" s="51">
        <v>14</v>
      </c>
      <c r="M48" s="3">
        <f t="shared" si="0"/>
        <v>0</v>
      </c>
    </row>
    <row r="49" spans="1:13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G49" t="s">
        <v>47</v>
      </c>
      <c r="H49" t="s">
        <v>54</v>
      </c>
      <c r="K49" s="51">
        <v>17.8</v>
      </c>
      <c r="L49" s="51">
        <v>17.8</v>
      </c>
      <c r="M49" s="3">
        <f t="shared" si="0"/>
        <v>0</v>
      </c>
    </row>
    <row r="50" spans="1:13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G50" t="s">
        <v>47</v>
      </c>
      <c r="H50" t="s">
        <v>54</v>
      </c>
      <c r="K50" s="51">
        <v>27.8</v>
      </c>
      <c r="L50" s="51">
        <v>29.4</v>
      </c>
      <c r="M50" s="3">
        <f t="shared" si="0"/>
        <v>5.7553956834532294E-2</v>
      </c>
    </row>
    <row r="51" spans="1:13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G51" t="s">
        <v>47</v>
      </c>
      <c r="H51" t="s">
        <v>54</v>
      </c>
      <c r="I51" t="s">
        <v>130</v>
      </c>
      <c r="K51" s="51">
        <v>22</v>
      </c>
      <c r="L51" s="51">
        <v>22</v>
      </c>
      <c r="M51" s="3">
        <f t="shared" si="0"/>
        <v>0</v>
      </c>
    </row>
    <row r="52" spans="1:13">
      <c r="A52" s="2">
        <v>46009</v>
      </c>
      <c r="B52" t="s">
        <v>44</v>
      </c>
      <c r="C52">
        <v>63556</v>
      </c>
      <c r="D52">
        <v>1571</v>
      </c>
      <c r="E52" t="s">
        <v>120</v>
      </c>
      <c r="F52" t="s">
        <v>46</v>
      </c>
      <c r="G52" s="58" t="s">
        <v>47</v>
      </c>
      <c r="H52" s="58" t="s">
        <v>54</v>
      </c>
      <c r="K52" s="51">
        <v>31</v>
      </c>
      <c r="L52" s="51">
        <v>31</v>
      </c>
      <c r="M52" s="3">
        <f t="shared" si="0"/>
        <v>0</v>
      </c>
    </row>
    <row r="53" spans="1:13">
      <c r="A53" s="2">
        <v>46009</v>
      </c>
      <c r="B53" t="s">
        <v>44</v>
      </c>
      <c r="C53">
        <v>63557</v>
      </c>
      <c r="D53">
        <v>1572</v>
      </c>
      <c r="E53" t="s">
        <v>131</v>
      </c>
      <c r="F53" t="s">
        <v>46</v>
      </c>
      <c r="G53" t="s">
        <v>47</v>
      </c>
      <c r="H53" t="s">
        <v>48</v>
      </c>
      <c r="I53" t="s">
        <v>132</v>
      </c>
      <c r="K53" s="51">
        <v>12</v>
      </c>
      <c r="L53" s="51">
        <v>35</v>
      </c>
      <c r="M53" s="3">
        <f t="shared" si="0"/>
        <v>1.9166666666666667</v>
      </c>
    </row>
    <row r="54" spans="1:13">
      <c r="A54" s="2">
        <v>46010</v>
      </c>
      <c r="B54" t="s">
        <v>69</v>
      </c>
      <c r="C54">
        <v>63547</v>
      </c>
      <c r="D54">
        <v>1573</v>
      </c>
      <c r="E54" t="s">
        <v>133</v>
      </c>
      <c r="F54" t="s">
        <v>65</v>
      </c>
      <c r="G54" t="s">
        <v>47</v>
      </c>
      <c r="H54" t="s">
        <v>48</v>
      </c>
      <c r="I54" t="s">
        <v>134</v>
      </c>
      <c r="K54" s="51">
        <v>18</v>
      </c>
      <c r="L54" s="51">
        <v>18.8</v>
      </c>
      <c r="M54" s="3">
        <f t="shared" si="0"/>
        <v>4.4444444444444481E-2</v>
      </c>
    </row>
    <row r="55" spans="1:13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G55" t="s">
        <v>47</v>
      </c>
      <c r="H55" t="s">
        <v>54</v>
      </c>
      <c r="I55" t="s">
        <v>135</v>
      </c>
      <c r="K55" s="51">
        <v>12</v>
      </c>
      <c r="L55" s="51">
        <v>13.6</v>
      </c>
      <c r="M55" s="3">
        <f t="shared" si="0"/>
        <v>0.1333333333333333</v>
      </c>
    </row>
    <row r="56" spans="1:13">
      <c r="A56" s="2">
        <v>46010</v>
      </c>
      <c r="B56" t="s">
        <v>90</v>
      </c>
      <c r="C56">
        <v>63548</v>
      </c>
      <c r="D56">
        <v>1575</v>
      </c>
      <c r="E56" t="s">
        <v>87</v>
      </c>
      <c r="F56" t="s">
        <v>65</v>
      </c>
      <c r="G56" s="58" t="s">
        <v>47</v>
      </c>
      <c r="H56" s="58" t="s">
        <v>54</v>
      </c>
      <c r="I56" t="s">
        <v>136</v>
      </c>
      <c r="K56" s="51" t="s">
        <v>137</v>
      </c>
      <c r="L56" s="51">
        <v>20</v>
      </c>
      <c r="M56" s="3"/>
    </row>
    <row r="57" spans="1:13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G57" t="s">
        <v>47</v>
      </c>
      <c r="H57" t="s">
        <v>54</v>
      </c>
      <c r="I57" t="s">
        <v>138</v>
      </c>
      <c r="K57" s="51">
        <v>22.7</v>
      </c>
      <c r="L57" s="51">
        <v>25.3</v>
      </c>
      <c r="M57" s="3">
        <f t="shared" si="0"/>
        <v>0.11453744493392078</v>
      </c>
    </row>
    <row r="58" spans="1:13">
      <c r="A58" s="2">
        <v>46010</v>
      </c>
      <c r="B58" t="s">
        <v>90</v>
      </c>
      <c r="C58">
        <v>63548</v>
      </c>
      <c r="D58">
        <v>1577</v>
      </c>
      <c r="E58" t="s">
        <v>110</v>
      </c>
      <c r="F58" t="s">
        <v>65</v>
      </c>
      <c r="G58" t="s">
        <v>47</v>
      </c>
      <c r="H58" t="s">
        <v>54</v>
      </c>
      <c r="I58" t="s">
        <v>139</v>
      </c>
      <c r="K58" s="51">
        <v>18</v>
      </c>
      <c r="L58" s="51">
        <v>18</v>
      </c>
      <c r="M58" s="3">
        <f t="shared" si="0"/>
        <v>0</v>
      </c>
    </row>
    <row r="59" spans="1:13">
      <c r="A59" s="2">
        <v>46028</v>
      </c>
      <c r="B59" t="s">
        <v>44</v>
      </c>
      <c r="C59">
        <v>64063</v>
      </c>
      <c r="D59">
        <v>1578</v>
      </c>
      <c r="E59" t="s">
        <v>140</v>
      </c>
      <c r="F59" t="s">
        <v>46</v>
      </c>
      <c r="G59" t="s">
        <v>47</v>
      </c>
      <c r="H59" t="s">
        <v>48</v>
      </c>
      <c r="I59" t="s">
        <v>141</v>
      </c>
      <c r="K59" s="51">
        <v>16</v>
      </c>
      <c r="L59" s="51">
        <v>18</v>
      </c>
      <c r="M59" s="3">
        <f t="shared" si="0"/>
        <v>0.125</v>
      </c>
    </row>
    <row r="60" spans="1:13">
      <c r="A60" s="2">
        <v>46028</v>
      </c>
      <c r="B60" t="s">
        <v>44</v>
      </c>
      <c r="C60">
        <v>64063</v>
      </c>
      <c r="D60">
        <v>1579</v>
      </c>
      <c r="E60" t="s">
        <v>142</v>
      </c>
      <c r="F60" t="s">
        <v>46</v>
      </c>
      <c r="G60" t="s">
        <v>47</v>
      </c>
      <c r="H60" t="s">
        <v>48</v>
      </c>
      <c r="I60" t="s">
        <v>143</v>
      </c>
      <c r="K60" s="51">
        <v>14</v>
      </c>
      <c r="L60" s="51">
        <v>14</v>
      </c>
      <c r="M60" s="3">
        <f t="shared" si="0"/>
        <v>0</v>
      </c>
    </row>
    <row r="61" spans="1:13">
      <c r="A61" s="2">
        <v>46028</v>
      </c>
      <c r="B61" t="s">
        <v>44</v>
      </c>
      <c r="C61">
        <v>64064</v>
      </c>
      <c r="D61">
        <v>1580</v>
      </c>
      <c r="E61" t="s">
        <v>144</v>
      </c>
      <c r="F61" t="s">
        <v>46</v>
      </c>
      <c r="G61" t="s">
        <v>47</v>
      </c>
      <c r="H61" t="s">
        <v>54</v>
      </c>
      <c r="K61" s="51">
        <v>16</v>
      </c>
      <c r="L61" s="51">
        <v>23</v>
      </c>
      <c r="M61" s="3">
        <f t="shared" si="0"/>
        <v>0.4375</v>
      </c>
    </row>
    <row r="62" spans="1:13">
      <c r="A62" s="2">
        <v>46028</v>
      </c>
      <c r="B62" t="s">
        <v>44</v>
      </c>
      <c r="C62">
        <v>64064</v>
      </c>
      <c r="D62">
        <v>1581</v>
      </c>
      <c r="E62" t="s">
        <v>145</v>
      </c>
      <c r="F62" t="s">
        <v>46</v>
      </c>
      <c r="G62" t="s">
        <v>47</v>
      </c>
      <c r="H62" t="s">
        <v>54</v>
      </c>
      <c r="K62" s="51">
        <v>23</v>
      </c>
      <c r="L62" s="51">
        <v>32</v>
      </c>
      <c r="M62" s="3">
        <f t="shared" si="0"/>
        <v>0.39130434782608697</v>
      </c>
    </row>
    <row r="63" spans="1:13">
      <c r="A63" s="2">
        <v>46028</v>
      </c>
      <c r="B63" t="s">
        <v>90</v>
      </c>
      <c r="C63">
        <v>64064</v>
      </c>
      <c r="D63">
        <v>1582</v>
      </c>
      <c r="E63" t="s">
        <v>102</v>
      </c>
      <c r="F63" t="s">
        <v>46</v>
      </c>
      <c r="G63" s="19" t="s">
        <v>47</v>
      </c>
      <c r="H63" s="19" t="s">
        <v>54</v>
      </c>
      <c r="K63" s="51">
        <v>11.5</v>
      </c>
      <c r="L63" s="51">
        <v>11.5</v>
      </c>
      <c r="M63" s="3">
        <f t="shared" si="0"/>
        <v>0</v>
      </c>
    </row>
    <row r="64" spans="1:13">
      <c r="A64" s="2">
        <v>46030</v>
      </c>
      <c r="B64" t="s">
        <v>44</v>
      </c>
      <c r="C64">
        <v>64055</v>
      </c>
      <c r="D64">
        <v>1583</v>
      </c>
      <c r="E64" t="s">
        <v>99</v>
      </c>
      <c r="F64" t="s">
        <v>65</v>
      </c>
      <c r="G64" t="s">
        <v>47</v>
      </c>
      <c r="H64" t="s">
        <v>48</v>
      </c>
      <c r="I64" t="s">
        <v>147</v>
      </c>
      <c r="K64" s="51">
        <v>22</v>
      </c>
      <c r="L64" s="51">
        <v>22</v>
      </c>
      <c r="M64" s="3">
        <f t="shared" si="0"/>
        <v>0</v>
      </c>
    </row>
    <row r="65" spans="1:13">
      <c r="A65" s="2">
        <v>46030</v>
      </c>
      <c r="B65" t="s">
        <v>44</v>
      </c>
      <c r="C65">
        <v>64056</v>
      </c>
      <c r="D65">
        <v>1584</v>
      </c>
      <c r="E65" t="s">
        <v>148</v>
      </c>
      <c r="F65" t="s">
        <v>65</v>
      </c>
      <c r="G65" t="s">
        <v>47</v>
      </c>
      <c r="H65" t="s">
        <v>54</v>
      </c>
      <c r="K65" s="71"/>
      <c r="L65" s="71"/>
      <c r="M65" s="70"/>
    </row>
    <row r="66" spans="1:13">
      <c r="A66" s="2">
        <v>46030</v>
      </c>
      <c r="B66" t="s">
        <v>69</v>
      </c>
      <c r="C66">
        <v>64056</v>
      </c>
      <c r="D66">
        <v>1585</v>
      </c>
      <c r="E66" t="s">
        <v>149</v>
      </c>
      <c r="F66" t="s">
        <v>65</v>
      </c>
      <c r="G66" t="s">
        <v>47</v>
      </c>
      <c r="H66" t="s">
        <v>54</v>
      </c>
      <c r="K66" s="51">
        <v>36</v>
      </c>
      <c r="L66" s="51">
        <v>21.8</v>
      </c>
      <c r="M66" s="3">
        <f t="shared" si="0"/>
        <v>-0.39444444444444443</v>
      </c>
    </row>
    <row r="67" spans="1:13">
      <c r="A67" s="2">
        <v>46030</v>
      </c>
      <c r="B67" t="s">
        <v>90</v>
      </c>
      <c r="C67">
        <v>64056</v>
      </c>
      <c r="D67">
        <v>1586</v>
      </c>
      <c r="E67" t="s">
        <v>149</v>
      </c>
      <c r="F67" t="s">
        <v>65</v>
      </c>
      <c r="G67" t="s">
        <v>47</v>
      </c>
      <c r="H67" t="s">
        <v>54</v>
      </c>
      <c r="K67" s="51">
        <v>35.409999999999997</v>
      </c>
      <c r="L67" s="71"/>
      <c r="M67" s="70"/>
    </row>
    <row r="68" spans="1:13">
      <c r="A68" s="2">
        <v>46030</v>
      </c>
      <c r="B68" t="s">
        <v>90</v>
      </c>
      <c r="C68">
        <v>64056</v>
      </c>
      <c r="D68">
        <v>1587</v>
      </c>
      <c r="E68" t="s">
        <v>150</v>
      </c>
      <c r="F68" t="s">
        <v>65</v>
      </c>
      <c r="G68" t="s">
        <v>47</v>
      </c>
      <c r="H68" t="s">
        <v>54</v>
      </c>
      <c r="I68" t="s">
        <v>151</v>
      </c>
      <c r="K68" s="51">
        <v>30</v>
      </c>
      <c r="L68" s="71"/>
      <c r="M68" s="70"/>
    </row>
    <row r="69" spans="1:13">
      <c r="A69" s="2">
        <v>46031</v>
      </c>
      <c r="B69" t="s">
        <v>90</v>
      </c>
      <c r="C69">
        <v>64065</v>
      </c>
      <c r="D69">
        <v>1588</v>
      </c>
      <c r="E69" t="s">
        <v>68</v>
      </c>
      <c r="F69" t="s">
        <v>46</v>
      </c>
      <c r="G69" s="19" t="s">
        <v>57</v>
      </c>
      <c r="H69" s="19" t="s">
        <v>54</v>
      </c>
      <c r="I69" t="s">
        <v>153</v>
      </c>
      <c r="K69" s="51">
        <v>14</v>
      </c>
      <c r="L69" s="51">
        <v>14</v>
      </c>
      <c r="M69" s="3">
        <f t="shared" ref="M69:M132" si="1">((L69-K69)/K69)</f>
        <v>0</v>
      </c>
    </row>
    <row r="70" spans="1:13">
      <c r="A70" s="2">
        <v>46031</v>
      </c>
      <c r="B70" t="s">
        <v>44</v>
      </c>
      <c r="C70">
        <v>64065</v>
      </c>
      <c r="D70">
        <v>1589</v>
      </c>
      <c r="E70" t="s">
        <v>99</v>
      </c>
      <c r="F70" t="s">
        <v>46</v>
      </c>
      <c r="G70" t="s">
        <v>57</v>
      </c>
      <c r="H70" t="s">
        <v>54</v>
      </c>
      <c r="K70" s="51">
        <v>17.2</v>
      </c>
      <c r="L70" s="51">
        <v>21</v>
      </c>
      <c r="M70" s="3">
        <f t="shared" si="1"/>
        <v>0.22093023255813959</v>
      </c>
    </row>
    <row r="71" spans="1:13">
      <c r="A71" s="2">
        <v>46031</v>
      </c>
      <c r="B71" t="s">
        <v>44</v>
      </c>
      <c r="C71">
        <v>64065</v>
      </c>
      <c r="D71">
        <v>1590</v>
      </c>
      <c r="E71" t="s">
        <v>142</v>
      </c>
      <c r="F71" t="s">
        <v>46</v>
      </c>
      <c r="G71" t="s">
        <v>57</v>
      </c>
      <c r="H71" t="s">
        <v>54</v>
      </c>
      <c r="I71" t="s">
        <v>155</v>
      </c>
      <c r="K71" s="51">
        <v>14</v>
      </c>
      <c r="L71" s="51">
        <v>17</v>
      </c>
      <c r="M71" s="3">
        <f t="shared" si="1"/>
        <v>0.21428571428571427</v>
      </c>
    </row>
    <row r="72" spans="1:13">
      <c r="A72" s="2">
        <v>46031</v>
      </c>
      <c r="B72" t="s">
        <v>69</v>
      </c>
      <c r="C72">
        <v>64066</v>
      </c>
      <c r="D72">
        <v>1591</v>
      </c>
      <c r="E72" t="s">
        <v>99</v>
      </c>
      <c r="F72" t="s">
        <v>46</v>
      </c>
      <c r="G72" t="s">
        <v>57</v>
      </c>
      <c r="H72" t="s">
        <v>48</v>
      </c>
      <c r="I72" t="s">
        <v>153</v>
      </c>
      <c r="K72" s="51">
        <v>17.899999999999999</v>
      </c>
      <c r="L72" s="51">
        <v>17.899999999999999</v>
      </c>
      <c r="M72" s="3">
        <f t="shared" si="1"/>
        <v>0</v>
      </c>
    </row>
    <row r="73" spans="1:13">
      <c r="A73" s="2">
        <v>46035</v>
      </c>
      <c r="B73" t="s">
        <v>44</v>
      </c>
      <c r="C73">
        <v>64059</v>
      </c>
      <c r="D73">
        <v>1592</v>
      </c>
      <c r="E73" t="s">
        <v>99</v>
      </c>
      <c r="F73" t="s">
        <v>65</v>
      </c>
      <c r="G73" t="s">
        <v>47</v>
      </c>
      <c r="H73" t="s">
        <v>54</v>
      </c>
      <c r="I73" t="s">
        <v>156</v>
      </c>
      <c r="K73" s="51">
        <v>23</v>
      </c>
      <c r="L73" s="51">
        <v>54</v>
      </c>
      <c r="M73" s="3">
        <f t="shared" si="1"/>
        <v>1.3478260869565217</v>
      </c>
    </row>
    <row r="74" spans="1:13">
      <c r="A74" s="2">
        <v>46035</v>
      </c>
      <c r="B74" t="s">
        <v>44</v>
      </c>
      <c r="C74">
        <v>64059</v>
      </c>
      <c r="D74">
        <v>1593</v>
      </c>
      <c r="E74" t="s">
        <v>142</v>
      </c>
      <c r="F74" t="s">
        <v>65</v>
      </c>
      <c r="G74" t="s">
        <v>47</v>
      </c>
      <c r="H74" t="s">
        <v>54</v>
      </c>
      <c r="I74" t="s">
        <v>157</v>
      </c>
      <c r="K74" s="51">
        <v>27</v>
      </c>
      <c r="L74" s="51">
        <v>25</v>
      </c>
      <c r="M74" s="3">
        <f t="shared" si="1"/>
        <v>-7.407407407407407E-2</v>
      </c>
    </row>
    <row r="75" spans="1:13">
      <c r="A75" s="2">
        <v>46035</v>
      </c>
      <c r="B75" t="s">
        <v>158</v>
      </c>
      <c r="C75">
        <v>64059</v>
      </c>
      <c r="D75">
        <v>1594</v>
      </c>
      <c r="F75" t="s">
        <v>65</v>
      </c>
      <c r="G75" s="19" t="s">
        <v>47</v>
      </c>
      <c r="H75" s="19" t="s">
        <v>54</v>
      </c>
      <c r="K75" s="51">
        <v>24</v>
      </c>
      <c r="L75" s="51">
        <v>35</v>
      </c>
      <c r="M75" s="3">
        <f t="shared" si="1"/>
        <v>0.45833333333333331</v>
      </c>
    </row>
    <row r="76" spans="1:13">
      <c r="A76" s="2">
        <v>46035</v>
      </c>
      <c r="B76" t="s">
        <v>44</v>
      </c>
      <c r="C76">
        <v>64060</v>
      </c>
      <c r="D76">
        <v>1595</v>
      </c>
      <c r="E76" t="s">
        <v>159</v>
      </c>
      <c r="F76" t="s">
        <v>65</v>
      </c>
      <c r="G76" t="s">
        <v>47</v>
      </c>
      <c r="H76" t="s">
        <v>48</v>
      </c>
      <c r="I76" t="s">
        <v>160</v>
      </c>
      <c r="K76" s="51">
        <v>21</v>
      </c>
      <c r="L76" s="51">
        <v>21</v>
      </c>
      <c r="M76" s="3">
        <f t="shared" si="1"/>
        <v>0</v>
      </c>
    </row>
    <row r="77" spans="1:13">
      <c r="A77" s="2">
        <v>46036</v>
      </c>
      <c r="B77" t="s">
        <v>44</v>
      </c>
      <c r="C77">
        <v>64057</v>
      </c>
      <c r="D77">
        <v>1596</v>
      </c>
      <c r="E77" t="s">
        <v>107</v>
      </c>
      <c r="F77" t="s">
        <v>65</v>
      </c>
      <c r="G77" t="s">
        <v>57</v>
      </c>
      <c r="H77" t="s">
        <v>48</v>
      </c>
      <c r="I77" t="s">
        <v>161</v>
      </c>
      <c r="K77" s="51">
        <v>14</v>
      </c>
      <c r="L77" s="51">
        <v>14</v>
      </c>
      <c r="M77" s="3">
        <f t="shared" si="1"/>
        <v>0</v>
      </c>
    </row>
    <row r="78" spans="1:13">
      <c r="A78" s="2">
        <v>46036</v>
      </c>
      <c r="B78" t="s">
        <v>44</v>
      </c>
      <c r="C78">
        <v>64057</v>
      </c>
      <c r="D78">
        <v>1597</v>
      </c>
      <c r="E78" t="s">
        <v>116</v>
      </c>
      <c r="F78" t="s">
        <v>65</v>
      </c>
      <c r="G78" t="s">
        <v>57</v>
      </c>
      <c r="H78" t="s">
        <v>48</v>
      </c>
      <c r="I78" t="s">
        <v>162</v>
      </c>
      <c r="K78" s="51">
        <v>18</v>
      </c>
      <c r="L78" s="51">
        <v>22</v>
      </c>
      <c r="M78" s="3">
        <f t="shared" si="1"/>
        <v>0.22222222222222221</v>
      </c>
    </row>
    <row r="79" spans="1:13">
      <c r="A79" s="2">
        <v>46036</v>
      </c>
      <c r="B79" t="s">
        <v>44</v>
      </c>
      <c r="C79">
        <v>64058</v>
      </c>
      <c r="D79">
        <v>1598</v>
      </c>
      <c r="E79" t="s">
        <v>163</v>
      </c>
      <c r="F79" t="s">
        <v>65</v>
      </c>
      <c r="G79" s="19" t="s">
        <v>57</v>
      </c>
      <c r="H79" s="19" t="s">
        <v>54</v>
      </c>
      <c r="I79" t="s">
        <v>164</v>
      </c>
      <c r="K79" s="51">
        <v>20</v>
      </c>
      <c r="L79" s="51">
        <v>20</v>
      </c>
      <c r="M79" s="3">
        <f t="shared" si="1"/>
        <v>0</v>
      </c>
    </row>
    <row r="80" spans="1:13">
      <c r="A80" s="2">
        <v>46036</v>
      </c>
      <c r="B80" t="s">
        <v>44</v>
      </c>
      <c r="C80">
        <v>64058</v>
      </c>
      <c r="D80">
        <v>1599</v>
      </c>
      <c r="E80" t="s">
        <v>165</v>
      </c>
      <c r="F80" t="s">
        <v>65</v>
      </c>
      <c r="G80" t="s">
        <v>57</v>
      </c>
      <c r="H80" t="s">
        <v>54</v>
      </c>
      <c r="I80" t="s">
        <v>166</v>
      </c>
      <c r="K80" s="51">
        <v>20</v>
      </c>
      <c r="L80" s="51">
        <v>29</v>
      </c>
      <c r="M80" s="3">
        <f t="shared" si="1"/>
        <v>0.45</v>
      </c>
    </row>
    <row r="81" spans="1:13">
      <c r="A81" s="2">
        <v>46036</v>
      </c>
      <c r="B81" t="s">
        <v>44</v>
      </c>
      <c r="C81">
        <v>64058</v>
      </c>
      <c r="D81">
        <v>1600</v>
      </c>
      <c r="E81" t="s">
        <v>167</v>
      </c>
      <c r="F81" t="s">
        <v>65</v>
      </c>
      <c r="G81" t="s">
        <v>57</v>
      </c>
      <c r="H81" t="s">
        <v>54</v>
      </c>
      <c r="I81" t="s">
        <v>168</v>
      </c>
      <c r="K81" s="51">
        <v>22</v>
      </c>
      <c r="L81" s="51">
        <v>30</v>
      </c>
      <c r="M81" s="3">
        <f t="shared" si="1"/>
        <v>0.36363636363636365</v>
      </c>
    </row>
    <row r="82" spans="1:13">
      <c r="A82" s="2">
        <v>46037</v>
      </c>
      <c r="B82" t="s">
        <v>158</v>
      </c>
      <c r="C82">
        <v>64067</v>
      </c>
      <c r="D82">
        <v>1601</v>
      </c>
      <c r="F82" t="s">
        <v>46</v>
      </c>
      <c r="G82" t="s">
        <v>47</v>
      </c>
      <c r="H82" t="s">
        <v>54</v>
      </c>
      <c r="K82" s="51">
        <v>23.9</v>
      </c>
      <c r="L82" s="51">
        <v>23.9</v>
      </c>
      <c r="M82" s="3">
        <f t="shared" si="1"/>
        <v>0</v>
      </c>
    </row>
    <row r="83" spans="1:13">
      <c r="A83" s="2">
        <v>46037</v>
      </c>
      <c r="B83" t="s">
        <v>69</v>
      </c>
      <c r="C83">
        <v>64067</v>
      </c>
      <c r="D83">
        <v>1602</v>
      </c>
      <c r="E83" t="s">
        <v>93</v>
      </c>
      <c r="F83" t="s">
        <v>46</v>
      </c>
      <c r="G83" t="s">
        <v>47</v>
      </c>
      <c r="H83" t="s">
        <v>54</v>
      </c>
      <c r="I83" t="s">
        <v>169</v>
      </c>
      <c r="K83" s="51">
        <v>15</v>
      </c>
      <c r="L83" s="51">
        <v>15</v>
      </c>
      <c r="M83" s="3">
        <f t="shared" si="1"/>
        <v>0</v>
      </c>
    </row>
    <row r="84" spans="1:13">
      <c r="A84" s="2">
        <v>46037</v>
      </c>
      <c r="B84" t="s">
        <v>69</v>
      </c>
      <c r="C84">
        <v>64068</v>
      </c>
      <c r="D84">
        <v>1603</v>
      </c>
      <c r="E84" t="s">
        <v>170</v>
      </c>
      <c r="F84" t="s">
        <v>46</v>
      </c>
      <c r="G84" t="s">
        <v>47</v>
      </c>
      <c r="H84" t="s">
        <v>48</v>
      </c>
      <c r="I84" t="s">
        <v>171</v>
      </c>
      <c r="K84" s="51">
        <v>19.600000000000001</v>
      </c>
      <c r="L84" s="51">
        <v>17.7</v>
      </c>
      <c r="M84" s="3">
        <f t="shared" si="1"/>
        <v>-9.6938775510204189E-2</v>
      </c>
    </row>
    <row r="85" spans="1:13">
      <c r="A85" s="2">
        <v>46037</v>
      </c>
      <c r="B85" t="s">
        <v>69</v>
      </c>
      <c r="C85">
        <v>64068</v>
      </c>
      <c r="D85">
        <v>1604</v>
      </c>
      <c r="E85" t="s">
        <v>172</v>
      </c>
      <c r="F85" t="s">
        <v>46</v>
      </c>
      <c r="G85" t="s">
        <v>47</v>
      </c>
      <c r="H85" t="s">
        <v>48</v>
      </c>
      <c r="I85" t="s">
        <v>173</v>
      </c>
      <c r="K85" s="51">
        <v>20</v>
      </c>
      <c r="L85" s="51">
        <v>17.7</v>
      </c>
      <c r="M85" s="3">
        <f t="shared" si="1"/>
        <v>-0.11500000000000003</v>
      </c>
    </row>
    <row r="86" spans="1:13">
      <c r="A86" s="2">
        <v>46038</v>
      </c>
      <c r="B86" t="s">
        <v>90</v>
      </c>
      <c r="C86">
        <v>64061</v>
      </c>
      <c r="D86">
        <v>1605</v>
      </c>
      <c r="E86" t="s">
        <v>174</v>
      </c>
      <c r="F86" t="s">
        <v>65</v>
      </c>
      <c r="G86" t="s">
        <v>57</v>
      </c>
      <c r="H86" t="s">
        <v>48</v>
      </c>
      <c r="I86" t="s">
        <v>175</v>
      </c>
      <c r="K86" s="51">
        <v>18</v>
      </c>
      <c r="L86" s="51">
        <v>18</v>
      </c>
      <c r="M86" s="3">
        <f t="shared" si="1"/>
        <v>0</v>
      </c>
    </row>
    <row r="87" spans="1:13">
      <c r="A87" s="2">
        <v>46038</v>
      </c>
      <c r="B87" t="s">
        <v>44</v>
      </c>
      <c r="C87">
        <v>64061</v>
      </c>
      <c r="D87">
        <v>1606</v>
      </c>
      <c r="E87" t="s">
        <v>176</v>
      </c>
      <c r="F87" t="s">
        <v>65</v>
      </c>
      <c r="G87" t="s">
        <v>57</v>
      </c>
      <c r="H87" t="s">
        <v>48</v>
      </c>
      <c r="I87" t="s">
        <v>151</v>
      </c>
      <c r="K87" s="51">
        <v>23</v>
      </c>
      <c r="L87" s="51">
        <v>33</v>
      </c>
      <c r="M87" s="3">
        <f t="shared" si="1"/>
        <v>0.43478260869565216</v>
      </c>
    </row>
    <row r="88" spans="1:13">
      <c r="A88" s="2">
        <v>46038</v>
      </c>
      <c r="B88" t="s">
        <v>90</v>
      </c>
      <c r="C88">
        <v>64061</v>
      </c>
      <c r="D88">
        <v>1607</v>
      </c>
      <c r="E88" t="s">
        <v>177</v>
      </c>
      <c r="F88" t="s">
        <v>65</v>
      </c>
      <c r="G88" t="s">
        <v>57</v>
      </c>
      <c r="H88" t="s">
        <v>48</v>
      </c>
      <c r="K88" s="51">
        <v>14</v>
      </c>
      <c r="L88" s="51">
        <v>14</v>
      </c>
      <c r="M88" s="3">
        <f t="shared" si="1"/>
        <v>0</v>
      </c>
    </row>
    <row r="89" spans="1:13">
      <c r="A89" s="2">
        <v>46038</v>
      </c>
      <c r="B89" t="s">
        <v>90</v>
      </c>
      <c r="C89">
        <v>64062</v>
      </c>
      <c r="D89">
        <v>1608</v>
      </c>
      <c r="E89" t="s">
        <v>178</v>
      </c>
      <c r="F89" t="s">
        <v>65</v>
      </c>
      <c r="G89" t="s">
        <v>57</v>
      </c>
      <c r="H89" t="s">
        <v>54</v>
      </c>
      <c r="K89" s="51">
        <v>19</v>
      </c>
      <c r="L89" s="71"/>
      <c r="M89" s="70"/>
    </row>
    <row r="90" spans="1:13">
      <c r="A90" s="2">
        <v>46038</v>
      </c>
      <c r="B90" t="s">
        <v>44</v>
      </c>
      <c r="C90">
        <v>64062</v>
      </c>
      <c r="D90">
        <v>1609</v>
      </c>
      <c r="E90" t="s">
        <v>142</v>
      </c>
      <c r="F90" t="s">
        <v>65</v>
      </c>
      <c r="G90" t="s">
        <v>57</v>
      </c>
      <c r="H90" t="s">
        <v>54</v>
      </c>
      <c r="K90" s="51">
        <v>15</v>
      </c>
      <c r="L90" s="51">
        <v>23</v>
      </c>
      <c r="M90" s="3">
        <f t="shared" si="1"/>
        <v>0.53333333333333333</v>
      </c>
    </row>
    <row r="91" spans="1:13">
      <c r="A91" s="2">
        <v>46038</v>
      </c>
      <c r="B91" t="s">
        <v>90</v>
      </c>
      <c r="C91">
        <v>64062</v>
      </c>
      <c r="D91">
        <v>1610</v>
      </c>
      <c r="E91" t="s">
        <v>179</v>
      </c>
      <c r="F91" t="s">
        <v>65</v>
      </c>
      <c r="G91" s="19" t="s">
        <v>57</v>
      </c>
      <c r="H91" s="19" t="s">
        <v>54</v>
      </c>
      <c r="K91" s="51">
        <v>20</v>
      </c>
      <c r="L91" s="71"/>
      <c r="M91" s="70"/>
    </row>
    <row r="92" spans="1:13">
      <c r="A92" s="2">
        <v>46038</v>
      </c>
      <c r="B92" t="s">
        <v>158</v>
      </c>
      <c r="C92">
        <v>64061</v>
      </c>
      <c r="D92">
        <v>1611</v>
      </c>
      <c r="F92" t="s">
        <v>65</v>
      </c>
      <c r="G92" s="19" t="s">
        <v>57</v>
      </c>
      <c r="H92" s="19" t="s">
        <v>48</v>
      </c>
      <c r="K92" s="51">
        <v>25</v>
      </c>
      <c r="L92" s="51">
        <v>40</v>
      </c>
      <c r="M92" s="3">
        <f t="shared" si="1"/>
        <v>0.6</v>
      </c>
    </row>
    <row r="93" spans="1:13">
      <c r="A93" s="2">
        <v>46038</v>
      </c>
      <c r="B93" t="s">
        <v>90</v>
      </c>
      <c r="C93">
        <v>64062</v>
      </c>
      <c r="D93">
        <v>1612</v>
      </c>
      <c r="E93" t="s">
        <v>181</v>
      </c>
      <c r="F93" t="s">
        <v>65</v>
      </c>
      <c r="G93" s="19" t="s">
        <v>57</v>
      </c>
      <c r="H93" s="19" t="s">
        <v>54</v>
      </c>
      <c r="K93" s="51">
        <v>14</v>
      </c>
      <c r="L93" s="51">
        <v>14</v>
      </c>
      <c r="M93" s="3">
        <f t="shared" si="1"/>
        <v>0</v>
      </c>
    </row>
    <row r="94" spans="1:13">
      <c r="A94" s="2">
        <v>46038</v>
      </c>
      <c r="B94" t="s">
        <v>44</v>
      </c>
      <c r="C94">
        <v>64062</v>
      </c>
      <c r="D94">
        <v>1613</v>
      </c>
      <c r="F94" t="s">
        <v>65</v>
      </c>
      <c r="G94" s="19" t="s">
        <v>57</v>
      </c>
      <c r="H94" s="19" t="s">
        <v>54</v>
      </c>
      <c r="I94" t="s">
        <v>182</v>
      </c>
      <c r="K94" s="51">
        <v>30</v>
      </c>
      <c r="L94" s="71"/>
      <c r="M94" s="70"/>
    </row>
    <row r="95" spans="1:13">
      <c r="A95" s="2">
        <v>46042</v>
      </c>
      <c r="B95" t="s">
        <v>69</v>
      </c>
      <c r="C95">
        <v>64069</v>
      </c>
      <c r="D95">
        <v>1614</v>
      </c>
      <c r="E95" t="s">
        <v>140</v>
      </c>
      <c r="F95" t="s">
        <v>46</v>
      </c>
      <c r="G95" s="19" t="s">
        <v>57</v>
      </c>
      <c r="H95" s="19" t="s">
        <v>54</v>
      </c>
      <c r="I95" t="s">
        <v>183</v>
      </c>
      <c r="K95" s="51">
        <v>16</v>
      </c>
      <c r="L95" s="51">
        <v>16</v>
      </c>
      <c r="M95" s="3">
        <f t="shared" si="1"/>
        <v>0</v>
      </c>
    </row>
    <row r="96" spans="1:13">
      <c r="A96" s="2">
        <v>46042</v>
      </c>
      <c r="B96" t="s">
        <v>90</v>
      </c>
      <c r="C96">
        <v>64069</v>
      </c>
      <c r="D96">
        <v>1615</v>
      </c>
      <c r="E96" t="s">
        <v>140</v>
      </c>
      <c r="F96" t="s">
        <v>46</v>
      </c>
      <c r="G96" t="s">
        <v>57</v>
      </c>
      <c r="H96" t="s">
        <v>54</v>
      </c>
      <c r="K96" s="51">
        <v>21</v>
      </c>
      <c r="L96" s="71"/>
      <c r="M96" s="70"/>
    </row>
    <row r="97" spans="1:13">
      <c r="A97" s="2">
        <v>46042</v>
      </c>
      <c r="B97" t="s">
        <v>90</v>
      </c>
      <c r="C97">
        <v>64069</v>
      </c>
      <c r="D97">
        <v>1616</v>
      </c>
      <c r="E97" t="s">
        <v>142</v>
      </c>
      <c r="F97" t="s">
        <v>46</v>
      </c>
      <c r="G97" t="s">
        <v>57</v>
      </c>
      <c r="H97" t="s">
        <v>54</v>
      </c>
      <c r="K97" s="51">
        <v>20</v>
      </c>
      <c r="L97" s="51">
        <v>20</v>
      </c>
      <c r="M97" s="3">
        <f t="shared" si="1"/>
        <v>0</v>
      </c>
    </row>
    <row r="98" spans="1:13">
      <c r="A98" s="2">
        <v>46042</v>
      </c>
      <c r="B98" t="s">
        <v>90</v>
      </c>
      <c r="C98">
        <v>64069</v>
      </c>
      <c r="D98">
        <v>1617</v>
      </c>
      <c r="E98" t="s">
        <v>148</v>
      </c>
      <c r="F98" t="s">
        <v>46</v>
      </c>
      <c r="G98" s="19" t="s">
        <v>57</v>
      </c>
      <c r="H98" s="19" t="s">
        <v>54</v>
      </c>
      <c r="K98" s="51">
        <v>27</v>
      </c>
      <c r="L98" s="71"/>
      <c r="M98" s="70"/>
    </row>
    <row r="99" spans="1:13">
      <c r="A99" s="2">
        <v>46042</v>
      </c>
      <c r="B99" t="s">
        <v>90</v>
      </c>
      <c r="C99">
        <v>64070</v>
      </c>
      <c r="D99">
        <v>1618</v>
      </c>
      <c r="E99" t="s">
        <v>184</v>
      </c>
      <c r="F99" t="s">
        <v>46</v>
      </c>
      <c r="G99" s="19" t="s">
        <v>57</v>
      </c>
      <c r="H99" s="19" t="s">
        <v>54</v>
      </c>
      <c r="I99" t="s">
        <v>185</v>
      </c>
      <c r="K99" s="51">
        <v>17</v>
      </c>
      <c r="L99" s="51">
        <v>17</v>
      </c>
      <c r="M99" s="3">
        <f t="shared" si="1"/>
        <v>0</v>
      </c>
    </row>
    <row r="100" spans="1:13">
      <c r="A100" s="2">
        <v>46042</v>
      </c>
      <c r="B100" t="s">
        <v>90</v>
      </c>
      <c r="C100">
        <v>64070</v>
      </c>
      <c r="D100">
        <v>1619</v>
      </c>
      <c r="E100" t="s">
        <v>186</v>
      </c>
      <c r="F100" t="s">
        <v>46</v>
      </c>
      <c r="G100" t="s">
        <v>57</v>
      </c>
      <c r="H100" t="s">
        <v>48</v>
      </c>
      <c r="I100" t="s">
        <v>187</v>
      </c>
      <c r="K100" s="51">
        <v>20</v>
      </c>
      <c r="L100" s="51">
        <v>20</v>
      </c>
      <c r="M100" s="3">
        <f t="shared" si="1"/>
        <v>0</v>
      </c>
    </row>
    <row r="101" spans="1:13">
      <c r="A101" s="2">
        <v>46043</v>
      </c>
      <c r="B101" t="s">
        <v>90</v>
      </c>
      <c r="C101">
        <v>64290</v>
      </c>
      <c r="D101">
        <v>1620</v>
      </c>
      <c r="E101" t="s">
        <v>188</v>
      </c>
      <c r="F101" t="s">
        <v>46</v>
      </c>
      <c r="G101" t="s">
        <v>47</v>
      </c>
      <c r="H101" t="s">
        <v>48</v>
      </c>
      <c r="K101" s="51">
        <v>13</v>
      </c>
      <c r="L101" s="51">
        <v>13</v>
      </c>
      <c r="M101" s="3">
        <f t="shared" si="1"/>
        <v>0</v>
      </c>
    </row>
    <row r="102" spans="1:13">
      <c r="A102" s="2">
        <v>46043</v>
      </c>
      <c r="B102" t="s">
        <v>44</v>
      </c>
      <c r="C102">
        <v>64290</v>
      </c>
      <c r="D102">
        <v>1621</v>
      </c>
      <c r="E102" t="s">
        <v>189</v>
      </c>
      <c r="F102" t="s">
        <v>46</v>
      </c>
      <c r="G102" t="s">
        <v>47</v>
      </c>
      <c r="H102" t="s">
        <v>48</v>
      </c>
      <c r="I102" t="s">
        <v>190</v>
      </c>
      <c r="K102" s="51">
        <v>11.1</v>
      </c>
      <c r="L102" s="51">
        <v>11.7</v>
      </c>
      <c r="M102" s="3">
        <f t="shared" si="1"/>
        <v>5.4054054054054022E-2</v>
      </c>
    </row>
    <row r="103" spans="1:13">
      <c r="A103" s="2">
        <v>46043</v>
      </c>
      <c r="B103" t="s">
        <v>90</v>
      </c>
      <c r="C103">
        <v>64290</v>
      </c>
      <c r="D103">
        <v>1622</v>
      </c>
      <c r="E103" t="s">
        <v>191</v>
      </c>
      <c r="F103" t="s">
        <v>46</v>
      </c>
      <c r="G103" s="19" t="s">
        <v>47</v>
      </c>
      <c r="H103" s="19" t="s">
        <v>48</v>
      </c>
      <c r="K103" s="51">
        <v>17</v>
      </c>
      <c r="L103" s="51">
        <v>17</v>
      </c>
      <c r="M103" s="3">
        <f t="shared" si="1"/>
        <v>0</v>
      </c>
    </row>
    <row r="104" spans="1:13">
      <c r="A104" s="2">
        <v>46043</v>
      </c>
      <c r="B104" t="s">
        <v>44</v>
      </c>
      <c r="C104">
        <v>64290</v>
      </c>
      <c r="D104">
        <v>1623</v>
      </c>
      <c r="E104" t="s">
        <v>107</v>
      </c>
      <c r="F104" t="s">
        <v>46</v>
      </c>
      <c r="G104" t="s">
        <v>47</v>
      </c>
      <c r="H104" t="s">
        <v>48</v>
      </c>
      <c r="I104" t="s">
        <v>192</v>
      </c>
      <c r="K104" s="51">
        <v>18</v>
      </c>
      <c r="L104" s="51">
        <v>20</v>
      </c>
      <c r="M104" s="3">
        <f t="shared" si="1"/>
        <v>0.1111111111111111</v>
      </c>
    </row>
    <row r="105" spans="1:13">
      <c r="A105" s="2">
        <v>46043</v>
      </c>
      <c r="B105" t="s">
        <v>44</v>
      </c>
      <c r="C105">
        <v>64290</v>
      </c>
      <c r="D105">
        <v>1624</v>
      </c>
      <c r="E105" t="s">
        <v>116</v>
      </c>
      <c r="F105" t="s">
        <v>46</v>
      </c>
      <c r="G105" t="s">
        <v>47</v>
      </c>
      <c r="H105" t="s">
        <v>48</v>
      </c>
      <c r="I105" t="s">
        <v>193</v>
      </c>
      <c r="K105" s="51">
        <v>17</v>
      </c>
      <c r="L105" s="51">
        <v>18</v>
      </c>
      <c r="M105" s="3">
        <f t="shared" si="1"/>
        <v>5.8823529411764705E-2</v>
      </c>
    </row>
    <row r="106" spans="1:13">
      <c r="A106" s="2">
        <v>46043</v>
      </c>
      <c r="B106" t="s">
        <v>90</v>
      </c>
      <c r="C106">
        <v>64291</v>
      </c>
      <c r="D106">
        <v>1625</v>
      </c>
      <c r="E106" t="s">
        <v>194</v>
      </c>
      <c r="F106" t="s">
        <v>46</v>
      </c>
      <c r="G106" s="19" t="s">
        <v>47</v>
      </c>
      <c r="H106" s="19" t="s">
        <v>54</v>
      </c>
      <c r="K106" s="51">
        <v>18</v>
      </c>
      <c r="L106" s="51">
        <v>18</v>
      </c>
      <c r="M106" s="3">
        <f t="shared" si="1"/>
        <v>0</v>
      </c>
    </row>
    <row r="107" spans="1:13">
      <c r="A107" s="2">
        <v>46043</v>
      </c>
      <c r="B107" t="s">
        <v>44</v>
      </c>
      <c r="C107">
        <v>64291</v>
      </c>
      <c r="D107">
        <v>1626</v>
      </c>
      <c r="E107" t="s">
        <v>117</v>
      </c>
      <c r="F107" t="s">
        <v>46</v>
      </c>
      <c r="G107" t="s">
        <v>47</v>
      </c>
      <c r="H107" t="s">
        <v>54</v>
      </c>
      <c r="I107" t="s">
        <v>195</v>
      </c>
      <c r="K107" s="51">
        <v>18</v>
      </c>
      <c r="L107" s="51">
        <v>24</v>
      </c>
      <c r="M107" s="3">
        <f t="shared" si="1"/>
        <v>0.33333333333333331</v>
      </c>
    </row>
    <row r="108" spans="1:13">
      <c r="A108" s="2">
        <v>46043</v>
      </c>
      <c r="B108" t="s">
        <v>90</v>
      </c>
      <c r="C108">
        <v>64291</v>
      </c>
      <c r="D108">
        <v>1627</v>
      </c>
      <c r="E108" t="s">
        <v>196</v>
      </c>
      <c r="F108" t="s">
        <v>46</v>
      </c>
      <c r="G108" t="s">
        <v>47</v>
      </c>
      <c r="H108" t="s">
        <v>54</v>
      </c>
      <c r="K108" s="51">
        <v>30</v>
      </c>
      <c r="L108" s="51">
        <v>30</v>
      </c>
      <c r="M108" s="3">
        <f t="shared" si="1"/>
        <v>0</v>
      </c>
    </row>
    <row r="109" spans="1:13">
      <c r="A109" s="2">
        <v>46044</v>
      </c>
      <c r="B109" t="s">
        <v>44</v>
      </c>
      <c r="C109">
        <v>64282</v>
      </c>
      <c r="D109">
        <v>1628</v>
      </c>
      <c r="E109" t="s">
        <v>197</v>
      </c>
      <c r="F109" t="s">
        <v>65</v>
      </c>
      <c r="G109" t="s">
        <v>57</v>
      </c>
      <c r="H109" t="s">
        <v>54</v>
      </c>
      <c r="I109" t="s">
        <v>198</v>
      </c>
      <c r="K109" s="51">
        <v>19</v>
      </c>
      <c r="L109" s="51">
        <v>20</v>
      </c>
      <c r="M109" s="3">
        <f t="shared" si="1"/>
        <v>5.2631578947368418E-2</v>
      </c>
    </row>
    <row r="110" spans="1:13">
      <c r="A110" s="2">
        <v>46044</v>
      </c>
      <c r="B110" t="s">
        <v>90</v>
      </c>
      <c r="C110">
        <v>64282</v>
      </c>
      <c r="D110">
        <v>1629</v>
      </c>
      <c r="E110" t="s">
        <v>199</v>
      </c>
      <c r="F110" t="s">
        <v>65</v>
      </c>
      <c r="G110" s="19" t="s">
        <v>57</v>
      </c>
      <c r="H110" s="19" t="s">
        <v>54</v>
      </c>
      <c r="K110" s="51">
        <v>20</v>
      </c>
      <c r="L110" s="51">
        <v>21</v>
      </c>
      <c r="M110" s="3">
        <f t="shared" si="1"/>
        <v>0.05</v>
      </c>
    </row>
    <row r="111" spans="1:13">
      <c r="A111" s="2">
        <v>46044</v>
      </c>
      <c r="B111" t="s">
        <v>90</v>
      </c>
      <c r="C111">
        <v>64283</v>
      </c>
      <c r="D111">
        <v>1630</v>
      </c>
      <c r="E111" t="s">
        <v>201</v>
      </c>
      <c r="F111" t="s">
        <v>65</v>
      </c>
      <c r="G111" t="s">
        <v>57</v>
      </c>
      <c r="H111" t="s">
        <v>48</v>
      </c>
      <c r="I111" t="s">
        <v>202</v>
      </c>
      <c r="K111" s="51">
        <v>15</v>
      </c>
      <c r="L111" s="51">
        <v>15</v>
      </c>
      <c r="M111" s="3">
        <f t="shared" si="1"/>
        <v>0</v>
      </c>
    </row>
    <row r="112" spans="1:13">
      <c r="A112" s="2">
        <v>46044</v>
      </c>
      <c r="B112" t="s">
        <v>90</v>
      </c>
      <c r="C112">
        <v>64283</v>
      </c>
      <c r="D112">
        <v>1631</v>
      </c>
      <c r="E112" t="s">
        <v>203</v>
      </c>
      <c r="F112" t="s">
        <v>65</v>
      </c>
      <c r="G112" t="s">
        <v>57</v>
      </c>
      <c r="H112" t="s">
        <v>48</v>
      </c>
      <c r="I112" t="s">
        <v>204</v>
      </c>
      <c r="K112" s="51">
        <v>35</v>
      </c>
      <c r="L112" s="51">
        <v>35</v>
      </c>
      <c r="M112" s="3">
        <f t="shared" si="1"/>
        <v>0</v>
      </c>
    </row>
    <row r="113" spans="1:13">
      <c r="A113" s="2">
        <v>46044</v>
      </c>
      <c r="B113" t="s">
        <v>90</v>
      </c>
      <c r="C113">
        <v>64283</v>
      </c>
      <c r="D113">
        <v>1632</v>
      </c>
      <c r="E113" t="s">
        <v>205</v>
      </c>
      <c r="F113" t="s">
        <v>65</v>
      </c>
      <c r="G113" t="s">
        <v>57</v>
      </c>
      <c r="H113" t="s">
        <v>48</v>
      </c>
      <c r="I113" t="s">
        <v>206</v>
      </c>
      <c r="K113" s="51">
        <v>13</v>
      </c>
      <c r="L113" s="51">
        <v>13</v>
      </c>
      <c r="M113" s="3">
        <f t="shared" si="1"/>
        <v>0</v>
      </c>
    </row>
    <row r="114" spans="1:13">
      <c r="A114" s="2">
        <v>46045</v>
      </c>
      <c r="B114" t="s">
        <v>69</v>
      </c>
      <c r="C114">
        <v>64292</v>
      </c>
      <c r="D114">
        <v>1633</v>
      </c>
      <c r="E114" t="s">
        <v>207</v>
      </c>
      <c r="F114" t="s">
        <v>46</v>
      </c>
      <c r="G114" s="19" t="s">
        <v>57</v>
      </c>
      <c r="H114" s="19" t="s">
        <v>54</v>
      </c>
      <c r="I114" t="s">
        <v>208</v>
      </c>
      <c r="K114" s="51">
        <v>22.2</v>
      </c>
      <c r="L114" s="51">
        <v>23.6</v>
      </c>
      <c r="M114" s="3">
        <f t="shared" si="1"/>
        <v>6.3063063063063154E-2</v>
      </c>
    </row>
    <row r="115" spans="1:13">
      <c r="A115" s="2">
        <v>46045</v>
      </c>
      <c r="B115" t="s">
        <v>90</v>
      </c>
      <c r="C115">
        <v>64293</v>
      </c>
      <c r="D115">
        <v>1634</v>
      </c>
      <c r="E115" t="s">
        <v>210</v>
      </c>
      <c r="F115" t="s">
        <v>46</v>
      </c>
      <c r="G115" t="s">
        <v>57</v>
      </c>
      <c r="H115" t="s">
        <v>48</v>
      </c>
      <c r="K115" s="51">
        <v>20</v>
      </c>
      <c r="L115" s="51">
        <v>20</v>
      </c>
      <c r="M115" s="3">
        <f t="shared" si="1"/>
        <v>0</v>
      </c>
    </row>
    <row r="116" spans="1:13">
      <c r="A116" s="2">
        <v>46045</v>
      </c>
      <c r="B116" t="s">
        <v>90</v>
      </c>
      <c r="C116">
        <v>64293</v>
      </c>
      <c r="D116">
        <v>1635</v>
      </c>
      <c r="E116" t="s">
        <v>211</v>
      </c>
      <c r="F116" t="s">
        <v>46</v>
      </c>
      <c r="G116" t="s">
        <v>57</v>
      </c>
      <c r="H116" t="s">
        <v>48</v>
      </c>
      <c r="I116" t="s">
        <v>212</v>
      </c>
      <c r="K116" s="51">
        <v>15</v>
      </c>
      <c r="L116" s="51">
        <v>15</v>
      </c>
      <c r="M116" s="3">
        <f t="shared" si="1"/>
        <v>0</v>
      </c>
    </row>
    <row r="117" spans="1:13">
      <c r="A117" s="2">
        <v>46049</v>
      </c>
      <c r="B117" t="s">
        <v>90</v>
      </c>
      <c r="C117">
        <v>64284</v>
      </c>
      <c r="D117" s="72">
        <v>1636</v>
      </c>
      <c r="E117" s="72" t="s">
        <v>140</v>
      </c>
      <c r="F117" s="72" t="s">
        <v>65</v>
      </c>
      <c r="G117" t="s">
        <v>57</v>
      </c>
      <c r="H117" t="s">
        <v>54</v>
      </c>
      <c r="K117">
        <v>30</v>
      </c>
      <c r="L117">
        <v>30</v>
      </c>
      <c r="M117" s="3">
        <f t="shared" si="1"/>
        <v>0</v>
      </c>
    </row>
    <row r="118" spans="1:13">
      <c r="A118" s="2">
        <v>46049</v>
      </c>
      <c r="B118" t="s">
        <v>90</v>
      </c>
      <c r="C118">
        <v>64284</v>
      </c>
      <c r="D118" s="72">
        <v>1637</v>
      </c>
      <c r="E118" s="72" t="s">
        <v>142</v>
      </c>
      <c r="F118" s="72" t="s">
        <v>65</v>
      </c>
      <c r="G118" t="s">
        <v>57</v>
      </c>
      <c r="H118" t="s">
        <v>54</v>
      </c>
      <c r="I118" t="s">
        <v>213</v>
      </c>
      <c r="K118">
        <v>21</v>
      </c>
      <c r="L118">
        <v>21</v>
      </c>
      <c r="M118" s="3">
        <f t="shared" si="1"/>
        <v>0</v>
      </c>
    </row>
    <row r="119" spans="1:13">
      <c r="A119" s="2">
        <v>46049</v>
      </c>
      <c r="B119" t="s">
        <v>90</v>
      </c>
      <c r="C119">
        <v>64284</v>
      </c>
      <c r="D119" s="72">
        <v>1638</v>
      </c>
      <c r="E119" s="72" t="s">
        <v>214</v>
      </c>
      <c r="F119" s="72" t="s">
        <v>65</v>
      </c>
      <c r="G119" t="s">
        <v>57</v>
      </c>
      <c r="H119" t="s">
        <v>54</v>
      </c>
      <c r="I119" t="s">
        <v>215</v>
      </c>
      <c r="K119">
        <v>28</v>
      </c>
      <c r="L119">
        <v>28</v>
      </c>
      <c r="M119" s="3">
        <f t="shared" si="1"/>
        <v>0</v>
      </c>
    </row>
    <row r="120" spans="1:13">
      <c r="A120" s="2">
        <v>46049</v>
      </c>
      <c r="B120" t="s">
        <v>44</v>
      </c>
      <c r="C120">
        <v>64284</v>
      </c>
      <c r="D120" s="72">
        <v>1639</v>
      </c>
      <c r="E120" s="72" t="s">
        <v>216</v>
      </c>
      <c r="F120" s="72" t="s">
        <v>65</v>
      </c>
      <c r="G120" t="s">
        <v>57</v>
      </c>
      <c r="H120" t="s">
        <v>54</v>
      </c>
      <c r="I120" t="s">
        <v>217</v>
      </c>
      <c r="K120">
        <v>16</v>
      </c>
      <c r="L120" s="4"/>
      <c r="M120" s="70"/>
    </row>
    <row r="121" spans="1:13">
      <c r="A121" s="2">
        <v>46049</v>
      </c>
      <c r="B121" t="s">
        <v>90</v>
      </c>
      <c r="C121">
        <v>64285</v>
      </c>
      <c r="D121" s="72">
        <v>1640</v>
      </c>
      <c r="E121" s="72" t="s">
        <v>218</v>
      </c>
      <c r="F121" s="72" t="s">
        <v>65</v>
      </c>
      <c r="G121" t="s">
        <v>57</v>
      </c>
      <c r="H121" t="s">
        <v>48</v>
      </c>
      <c r="I121" t="s">
        <v>219</v>
      </c>
      <c r="K121">
        <v>23</v>
      </c>
      <c r="L121">
        <v>23</v>
      </c>
      <c r="M121" s="3">
        <f t="shared" si="1"/>
        <v>0</v>
      </c>
    </row>
    <row r="122" spans="1:13">
      <c r="A122" s="2">
        <v>46049</v>
      </c>
      <c r="B122" t="s">
        <v>44</v>
      </c>
      <c r="C122">
        <v>64284</v>
      </c>
      <c r="D122" s="72">
        <v>1641</v>
      </c>
      <c r="E122" s="72" t="s">
        <v>95</v>
      </c>
      <c r="F122" s="72" t="s">
        <v>65</v>
      </c>
      <c r="G122" t="s">
        <v>57</v>
      </c>
      <c r="H122" t="s">
        <v>54</v>
      </c>
      <c r="K122">
        <v>23</v>
      </c>
      <c r="L122">
        <v>34</v>
      </c>
      <c r="M122" s="3">
        <f t="shared" si="1"/>
        <v>0.47826086956521741</v>
      </c>
    </row>
    <row r="123" spans="1:13">
      <c r="A123" s="2">
        <v>46049</v>
      </c>
      <c r="B123" t="s">
        <v>90</v>
      </c>
      <c r="C123">
        <v>64285</v>
      </c>
      <c r="D123" s="72">
        <v>1642</v>
      </c>
      <c r="E123" s="72" t="s">
        <v>220</v>
      </c>
      <c r="F123" s="72" t="s">
        <v>65</v>
      </c>
      <c r="G123" s="19" t="s">
        <v>57</v>
      </c>
      <c r="H123" s="19" t="s">
        <v>48</v>
      </c>
      <c r="K123">
        <v>21</v>
      </c>
      <c r="L123">
        <v>21</v>
      </c>
      <c r="M123" s="3">
        <f t="shared" si="1"/>
        <v>0</v>
      </c>
    </row>
    <row r="124" spans="1:13">
      <c r="A124" s="2">
        <v>46049</v>
      </c>
      <c r="B124" t="s">
        <v>44</v>
      </c>
      <c r="C124">
        <v>64285</v>
      </c>
      <c r="D124" s="72">
        <v>1643</v>
      </c>
      <c r="E124" s="72" t="s">
        <v>144</v>
      </c>
      <c r="F124" s="72" t="s">
        <v>65</v>
      </c>
      <c r="G124" s="19" t="s">
        <v>57</v>
      </c>
      <c r="H124" s="19" t="s">
        <v>48</v>
      </c>
      <c r="K124">
        <v>29</v>
      </c>
      <c r="L124">
        <v>29</v>
      </c>
      <c r="M124" s="3">
        <f t="shared" si="1"/>
        <v>0</v>
      </c>
    </row>
    <row r="125" spans="1:13">
      <c r="A125" s="2">
        <v>46049</v>
      </c>
      <c r="B125" t="s">
        <v>44</v>
      </c>
      <c r="C125">
        <v>64285</v>
      </c>
      <c r="D125" s="72">
        <v>1644</v>
      </c>
      <c r="E125" s="72" t="s">
        <v>221</v>
      </c>
      <c r="F125" s="72" t="s">
        <v>65</v>
      </c>
      <c r="G125" s="19" t="s">
        <v>57</v>
      </c>
      <c r="H125" s="19" t="s">
        <v>48</v>
      </c>
      <c r="I125" t="s">
        <v>222</v>
      </c>
      <c r="K125">
        <v>16</v>
      </c>
      <c r="L125">
        <v>10</v>
      </c>
      <c r="M125" s="3">
        <f t="shared" si="1"/>
        <v>-0.375</v>
      </c>
    </row>
    <row r="126" spans="1:13">
      <c r="A126" s="2">
        <v>46050</v>
      </c>
      <c r="B126" t="s">
        <v>44</v>
      </c>
      <c r="C126">
        <v>64286</v>
      </c>
      <c r="D126" s="72">
        <v>1645</v>
      </c>
      <c r="E126" s="72" t="s">
        <v>223</v>
      </c>
      <c r="F126" s="72" t="s">
        <v>65</v>
      </c>
      <c r="G126" t="s">
        <v>47</v>
      </c>
      <c r="H126" t="s">
        <v>48</v>
      </c>
      <c r="I126" t="s">
        <v>224</v>
      </c>
      <c r="K126">
        <v>18.7</v>
      </c>
      <c r="L126">
        <v>16</v>
      </c>
      <c r="M126" s="3">
        <f t="shared" si="1"/>
        <v>-0.14438502673796788</v>
      </c>
    </row>
    <row r="127" spans="1:13">
      <c r="A127" s="2">
        <v>46050</v>
      </c>
      <c r="B127" t="s">
        <v>90</v>
      </c>
      <c r="C127">
        <v>64286</v>
      </c>
      <c r="D127" s="72">
        <v>1646</v>
      </c>
      <c r="E127" s="72" t="s">
        <v>140</v>
      </c>
      <c r="F127" s="72" t="s">
        <v>65</v>
      </c>
      <c r="G127" s="19" t="s">
        <v>47</v>
      </c>
      <c r="H127" s="19" t="s">
        <v>48</v>
      </c>
      <c r="K127">
        <v>18</v>
      </c>
      <c r="L127">
        <v>18</v>
      </c>
      <c r="M127" s="3">
        <f t="shared" si="1"/>
        <v>0</v>
      </c>
    </row>
    <row r="128" spans="1:13">
      <c r="A128" s="2">
        <v>46050</v>
      </c>
      <c r="B128" t="s">
        <v>44</v>
      </c>
      <c r="C128">
        <v>64286</v>
      </c>
      <c r="D128" s="72">
        <v>1647</v>
      </c>
      <c r="E128" s="72" t="s">
        <v>107</v>
      </c>
      <c r="F128" s="72" t="s">
        <v>65</v>
      </c>
      <c r="G128" t="s">
        <v>47</v>
      </c>
      <c r="H128" t="s">
        <v>48</v>
      </c>
      <c r="I128" t="s">
        <v>225</v>
      </c>
      <c r="K128">
        <v>17</v>
      </c>
      <c r="L128">
        <v>17</v>
      </c>
      <c r="M128" s="3">
        <f t="shared" si="1"/>
        <v>0</v>
      </c>
    </row>
    <row r="129" spans="1:13">
      <c r="A129" s="2">
        <v>46050</v>
      </c>
      <c r="B129" t="s">
        <v>44</v>
      </c>
      <c r="C129">
        <v>64286</v>
      </c>
      <c r="D129" s="72">
        <v>1648</v>
      </c>
      <c r="E129" s="72" t="s">
        <v>116</v>
      </c>
      <c r="F129" s="72" t="s">
        <v>65</v>
      </c>
      <c r="G129" t="s">
        <v>47</v>
      </c>
      <c r="H129" t="s">
        <v>48</v>
      </c>
      <c r="I129" t="s">
        <v>226</v>
      </c>
      <c r="K129">
        <v>11.5</v>
      </c>
      <c r="L129">
        <v>11.5</v>
      </c>
      <c r="M129" s="3">
        <f t="shared" si="1"/>
        <v>0</v>
      </c>
    </row>
    <row r="130" spans="1:13">
      <c r="A130" s="2">
        <v>46050</v>
      </c>
      <c r="B130" t="s">
        <v>90</v>
      </c>
      <c r="C130">
        <v>64286</v>
      </c>
      <c r="D130" s="72">
        <v>1649</v>
      </c>
      <c r="E130" s="72" t="s">
        <v>124</v>
      </c>
      <c r="F130" s="72" t="s">
        <v>65</v>
      </c>
      <c r="G130" t="s">
        <v>47</v>
      </c>
      <c r="H130" t="s">
        <v>48</v>
      </c>
      <c r="I130" t="s">
        <v>227</v>
      </c>
      <c r="K130">
        <v>12</v>
      </c>
      <c r="L130">
        <v>12</v>
      </c>
      <c r="M130" s="3">
        <f t="shared" si="1"/>
        <v>0</v>
      </c>
    </row>
    <row r="131" spans="1:13">
      <c r="A131" s="2">
        <v>46050</v>
      </c>
      <c r="B131" t="s">
        <v>90</v>
      </c>
      <c r="C131">
        <v>64287</v>
      </c>
      <c r="D131" s="72">
        <v>1650</v>
      </c>
      <c r="E131" s="72" t="s">
        <v>126</v>
      </c>
      <c r="F131" s="72" t="s">
        <v>65</v>
      </c>
      <c r="G131" t="s">
        <v>47</v>
      </c>
      <c r="H131" t="s">
        <v>54</v>
      </c>
      <c r="K131">
        <v>20</v>
      </c>
      <c r="L131">
        <v>20</v>
      </c>
      <c r="M131" s="3">
        <f t="shared" si="1"/>
        <v>0</v>
      </c>
    </row>
    <row r="132" spans="1:13">
      <c r="A132" s="2">
        <v>46050</v>
      </c>
      <c r="B132" t="s">
        <v>90</v>
      </c>
      <c r="C132">
        <v>64287</v>
      </c>
      <c r="D132" s="72">
        <v>1651</v>
      </c>
      <c r="E132" s="72" t="s">
        <v>145</v>
      </c>
      <c r="F132" s="72" t="s">
        <v>65</v>
      </c>
      <c r="G132" t="s">
        <v>47</v>
      </c>
      <c r="H132" t="s">
        <v>54</v>
      </c>
      <c r="I132" t="s">
        <v>228</v>
      </c>
      <c r="K132">
        <v>23</v>
      </c>
      <c r="L132">
        <v>23</v>
      </c>
      <c r="M132" s="3">
        <f t="shared" si="1"/>
        <v>0</v>
      </c>
    </row>
    <row r="133" spans="1:13">
      <c r="A133" s="2">
        <v>46051</v>
      </c>
      <c r="B133" t="s">
        <v>90</v>
      </c>
      <c r="C133">
        <v>64278</v>
      </c>
      <c r="D133" s="72">
        <v>1652</v>
      </c>
      <c r="E133" s="72" t="s">
        <v>140</v>
      </c>
      <c r="F133" s="72" t="s">
        <v>46</v>
      </c>
      <c r="G133" t="s">
        <v>57</v>
      </c>
      <c r="H133" t="s">
        <v>54</v>
      </c>
      <c r="K133">
        <v>18</v>
      </c>
      <c r="L133">
        <v>18</v>
      </c>
      <c r="M133" s="3">
        <f t="shared" ref="M133:M156" si="2">((L133-K133)/K133)</f>
        <v>0</v>
      </c>
    </row>
    <row r="134" spans="1:13">
      <c r="A134" s="2">
        <v>46051</v>
      </c>
      <c r="B134" t="s">
        <v>90</v>
      </c>
      <c r="C134">
        <v>64278</v>
      </c>
      <c r="D134" s="72">
        <v>1653</v>
      </c>
      <c r="E134" s="72" t="s">
        <v>142</v>
      </c>
      <c r="F134" s="72" t="s">
        <v>46</v>
      </c>
      <c r="G134" t="s">
        <v>57</v>
      </c>
      <c r="H134" t="s">
        <v>54</v>
      </c>
      <c r="I134" t="s">
        <v>229</v>
      </c>
      <c r="K134">
        <v>18</v>
      </c>
      <c r="L134">
        <v>18</v>
      </c>
      <c r="M134" s="3">
        <f t="shared" si="2"/>
        <v>0</v>
      </c>
    </row>
    <row r="135" spans="1:13">
      <c r="A135" s="2">
        <v>46051</v>
      </c>
      <c r="B135" t="s">
        <v>90</v>
      </c>
      <c r="C135">
        <v>64278</v>
      </c>
      <c r="D135" s="72">
        <v>1654</v>
      </c>
      <c r="E135" s="72" t="s">
        <v>184</v>
      </c>
      <c r="F135" s="72" t="s">
        <v>46</v>
      </c>
      <c r="G135" s="19" t="s">
        <v>57</v>
      </c>
      <c r="H135" s="19" t="s">
        <v>54</v>
      </c>
      <c r="K135">
        <v>16</v>
      </c>
      <c r="L135">
        <v>16</v>
      </c>
      <c r="M135" s="3">
        <f t="shared" si="2"/>
        <v>0</v>
      </c>
    </row>
    <row r="136" spans="1:13">
      <c r="A136" s="2">
        <v>46051</v>
      </c>
      <c r="B136" t="s">
        <v>158</v>
      </c>
      <c r="C136">
        <v>64278</v>
      </c>
      <c r="D136" s="72">
        <v>1655</v>
      </c>
      <c r="E136" s="72" t="s">
        <v>230</v>
      </c>
      <c r="F136" s="72" t="s">
        <v>46</v>
      </c>
      <c r="G136" t="s">
        <v>57</v>
      </c>
      <c r="H136" t="s">
        <v>54</v>
      </c>
      <c r="K136">
        <v>21</v>
      </c>
      <c r="L136">
        <v>21</v>
      </c>
      <c r="M136" s="3">
        <f t="shared" si="2"/>
        <v>0</v>
      </c>
    </row>
    <row r="137" spans="1:13">
      <c r="A137" s="2">
        <v>46051</v>
      </c>
      <c r="B137" t="s">
        <v>90</v>
      </c>
      <c r="C137">
        <v>64279</v>
      </c>
      <c r="D137" s="72">
        <v>1656</v>
      </c>
      <c r="E137" s="72" t="s">
        <v>231</v>
      </c>
      <c r="F137" s="72" t="s">
        <v>46</v>
      </c>
      <c r="G137" t="s">
        <v>57</v>
      </c>
      <c r="H137" t="s">
        <v>48</v>
      </c>
      <c r="I137" t="s">
        <v>232</v>
      </c>
      <c r="K137">
        <v>26</v>
      </c>
      <c r="L137">
        <v>18</v>
      </c>
      <c r="M137" s="3">
        <f t="shared" si="2"/>
        <v>-0.30769230769230771</v>
      </c>
    </row>
    <row r="138" spans="1:13">
      <c r="A138" s="2">
        <v>46051</v>
      </c>
      <c r="B138" t="s">
        <v>90</v>
      </c>
      <c r="C138">
        <v>64279</v>
      </c>
      <c r="D138" s="72">
        <v>1657</v>
      </c>
      <c r="E138" s="72" t="s">
        <v>233</v>
      </c>
      <c r="F138" s="72" t="s">
        <v>46</v>
      </c>
      <c r="G138" t="s">
        <v>57</v>
      </c>
      <c r="H138" t="s">
        <v>48</v>
      </c>
      <c r="I138" t="s">
        <v>234</v>
      </c>
      <c r="K138">
        <v>22</v>
      </c>
      <c r="L138">
        <v>22</v>
      </c>
      <c r="M138" s="3">
        <f t="shared" si="2"/>
        <v>0</v>
      </c>
    </row>
    <row r="139" spans="1:13">
      <c r="A139" s="2">
        <v>46051</v>
      </c>
      <c r="B139" t="s">
        <v>158</v>
      </c>
      <c r="C139">
        <v>64279</v>
      </c>
      <c r="D139" s="72">
        <v>1658</v>
      </c>
      <c r="E139" s="72" t="s">
        <v>145</v>
      </c>
      <c r="F139" s="72" t="s">
        <v>46</v>
      </c>
      <c r="G139" s="19" t="s">
        <v>57</v>
      </c>
      <c r="H139" s="19" t="s">
        <v>48</v>
      </c>
      <c r="I139" t="s">
        <v>235</v>
      </c>
      <c r="K139">
        <v>29</v>
      </c>
      <c r="L139">
        <v>33</v>
      </c>
      <c r="M139" s="3">
        <f t="shared" si="2"/>
        <v>0.13793103448275862</v>
      </c>
    </row>
    <row r="140" spans="1:13">
      <c r="A140" s="2">
        <v>46051</v>
      </c>
      <c r="B140" t="s">
        <v>90</v>
      </c>
      <c r="C140">
        <v>64279</v>
      </c>
      <c r="D140" s="72">
        <v>1659</v>
      </c>
      <c r="E140" s="72" t="s">
        <v>236</v>
      </c>
      <c r="F140" s="72" t="s">
        <v>46</v>
      </c>
      <c r="G140" t="s">
        <v>57</v>
      </c>
      <c r="H140" t="s">
        <v>48</v>
      </c>
      <c r="K140">
        <v>16</v>
      </c>
      <c r="L140">
        <v>16</v>
      </c>
      <c r="M140" s="3">
        <f t="shared" si="2"/>
        <v>0</v>
      </c>
    </row>
    <row r="141" spans="1:13">
      <c r="A141" s="2">
        <v>46052</v>
      </c>
      <c r="B141" t="s">
        <v>90</v>
      </c>
      <c r="C141">
        <v>64288</v>
      </c>
      <c r="D141" s="72">
        <v>1660</v>
      </c>
      <c r="E141" s="72" t="s">
        <v>91</v>
      </c>
      <c r="F141" s="72" t="s">
        <v>65</v>
      </c>
      <c r="G141" s="19" t="s">
        <v>47</v>
      </c>
      <c r="H141" s="19" t="s">
        <v>48</v>
      </c>
      <c r="K141">
        <v>25</v>
      </c>
      <c r="L141">
        <v>21</v>
      </c>
      <c r="M141" s="3">
        <f t="shared" si="2"/>
        <v>-0.16</v>
      </c>
    </row>
    <row r="142" spans="1:13">
      <c r="A142" s="2">
        <v>46052</v>
      </c>
      <c r="B142" t="s">
        <v>90</v>
      </c>
      <c r="C142">
        <v>64288</v>
      </c>
      <c r="D142" s="72">
        <v>1661</v>
      </c>
      <c r="E142" s="72" t="s">
        <v>237</v>
      </c>
      <c r="F142" s="72" t="s">
        <v>65</v>
      </c>
      <c r="G142" s="19" t="s">
        <v>47</v>
      </c>
      <c r="H142" s="19" t="s">
        <v>48</v>
      </c>
      <c r="K142">
        <v>18</v>
      </c>
      <c r="L142">
        <v>18</v>
      </c>
      <c r="M142" s="3">
        <f t="shared" si="2"/>
        <v>0</v>
      </c>
    </row>
    <row r="143" spans="1:13">
      <c r="A143" s="2">
        <v>46052</v>
      </c>
      <c r="B143" t="s">
        <v>90</v>
      </c>
      <c r="C143">
        <v>64288</v>
      </c>
      <c r="D143" s="72">
        <v>1662</v>
      </c>
      <c r="E143" s="72" t="s">
        <v>238</v>
      </c>
      <c r="F143" s="72" t="s">
        <v>65</v>
      </c>
      <c r="G143" t="s">
        <v>47</v>
      </c>
      <c r="H143" t="s">
        <v>48</v>
      </c>
      <c r="I143" t="s">
        <v>239</v>
      </c>
      <c r="K143">
        <v>20</v>
      </c>
      <c r="L143">
        <v>20</v>
      </c>
      <c r="M143" s="3">
        <f t="shared" si="2"/>
        <v>0</v>
      </c>
    </row>
    <row r="144" spans="1:13">
      <c r="A144" s="2">
        <v>46052</v>
      </c>
      <c r="B144" t="s">
        <v>90</v>
      </c>
      <c r="C144">
        <v>64289</v>
      </c>
      <c r="D144" s="72">
        <v>1663</v>
      </c>
      <c r="E144" s="72" t="s">
        <v>240</v>
      </c>
      <c r="F144" s="72" t="s">
        <v>65</v>
      </c>
      <c r="G144" s="19" t="s">
        <v>47</v>
      </c>
      <c r="H144" s="19" t="s">
        <v>54</v>
      </c>
      <c r="I144" t="s">
        <v>241</v>
      </c>
      <c r="K144">
        <v>18</v>
      </c>
      <c r="L144">
        <v>18</v>
      </c>
      <c r="M144" s="3">
        <f t="shared" si="2"/>
        <v>0</v>
      </c>
    </row>
    <row r="145" spans="1:13">
      <c r="A145" s="2">
        <v>46052</v>
      </c>
      <c r="B145" t="s">
        <v>90</v>
      </c>
      <c r="C145">
        <v>64289</v>
      </c>
      <c r="D145" s="72">
        <v>1664</v>
      </c>
      <c r="E145" s="72" t="s">
        <v>167</v>
      </c>
      <c r="F145" s="72" t="s">
        <v>65</v>
      </c>
      <c r="G145" t="s">
        <v>47</v>
      </c>
      <c r="H145" t="s">
        <v>54</v>
      </c>
      <c r="I145" t="s">
        <v>243</v>
      </c>
      <c r="K145">
        <v>25</v>
      </c>
      <c r="L145">
        <v>25</v>
      </c>
      <c r="M145" s="3">
        <f t="shared" si="2"/>
        <v>0</v>
      </c>
    </row>
    <row r="146" spans="1:13">
      <c r="A146" s="2">
        <v>46052</v>
      </c>
      <c r="B146" t="s">
        <v>90</v>
      </c>
      <c r="C146">
        <v>64289</v>
      </c>
      <c r="D146" s="72">
        <v>1665</v>
      </c>
      <c r="E146" s="72" t="s">
        <v>244</v>
      </c>
      <c r="F146" s="72" t="s">
        <v>65</v>
      </c>
      <c r="G146" s="19" t="s">
        <v>47</v>
      </c>
      <c r="H146" s="19" t="s">
        <v>54</v>
      </c>
      <c r="I146" t="s">
        <v>245</v>
      </c>
      <c r="K146">
        <v>21</v>
      </c>
      <c r="L146">
        <v>21</v>
      </c>
      <c r="M146" s="3">
        <f t="shared" si="2"/>
        <v>0</v>
      </c>
    </row>
    <row r="147" spans="1:13">
      <c r="A147" s="2">
        <v>46057</v>
      </c>
      <c r="B147" t="s">
        <v>44</v>
      </c>
      <c r="C147">
        <v>64280</v>
      </c>
      <c r="D147" s="72">
        <v>1666</v>
      </c>
      <c r="E147" t="s">
        <v>140</v>
      </c>
      <c r="F147" s="72" t="s">
        <v>46</v>
      </c>
      <c r="G147" t="s">
        <v>47</v>
      </c>
      <c r="H147" t="s">
        <v>48</v>
      </c>
      <c r="I147" t="s">
        <v>246</v>
      </c>
      <c r="K147">
        <v>16</v>
      </c>
      <c r="L147">
        <v>16</v>
      </c>
      <c r="M147" s="3">
        <f t="shared" si="2"/>
        <v>0</v>
      </c>
    </row>
    <row r="148" spans="1:13">
      <c r="A148" s="2">
        <v>46057</v>
      </c>
      <c r="B148" t="s">
        <v>44</v>
      </c>
      <c r="C148">
        <v>64280</v>
      </c>
      <c r="D148">
        <v>1667</v>
      </c>
      <c r="E148" t="s">
        <v>82</v>
      </c>
      <c r="F148" t="s">
        <v>46</v>
      </c>
      <c r="G148" t="s">
        <v>47</v>
      </c>
      <c r="H148" t="s">
        <v>48</v>
      </c>
      <c r="I148" t="s">
        <v>247</v>
      </c>
      <c r="K148">
        <v>21</v>
      </c>
      <c r="L148">
        <v>21</v>
      </c>
      <c r="M148" s="3">
        <f t="shared" si="2"/>
        <v>0</v>
      </c>
    </row>
    <row r="149" spans="1:13">
      <c r="A149" s="2">
        <v>46057</v>
      </c>
      <c r="B149" t="s">
        <v>90</v>
      </c>
      <c r="C149">
        <v>64280</v>
      </c>
      <c r="D149">
        <v>1668</v>
      </c>
      <c r="E149" t="s">
        <v>140</v>
      </c>
      <c r="F149" t="s">
        <v>46</v>
      </c>
      <c r="G149" t="s">
        <v>47</v>
      </c>
      <c r="H149" t="s">
        <v>48</v>
      </c>
      <c r="I149" t="s">
        <v>248</v>
      </c>
      <c r="K149">
        <v>21</v>
      </c>
      <c r="L149">
        <v>21</v>
      </c>
      <c r="M149" s="3">
        <f t="shared" si="2"/>
        <v>0</v>
      </c>
    </row>
    <row r="150" spans="1:13">
      <c r="A150" s="2">
        <v>46057</v>
      </c>
      <c r="B150" t="s">
        <v>90</v>
      </c>
      <c r="C150">
        <v>64280</v>
      </c>
      <c r="D150">
        <v>1669</v>
      </c>
      <c r="E150" t="s">
        <v>142</v>
      </c>
      <c r="F150" t="s">
        <v>46</v>
      </c>
      <c r="G150" t="s">
        <v>47</v>
      </c>
      <c r="H150" t="s">
        <v>48</v>
      </c>
      <c r="K150">
        <v>27</v>
      </c>
      <c r="L150">
        <v>27</v>
      </c>
      <c r="M150" s="3">
        <f t="shared" si="2"/>
        <v>0</v>
      </c>
    </row>
    <row r="151" spans="1:13">
      <c r="A151" s="2">
        <v>46057</v>
      </c>
      <c r="B151" t="s">
        <v>90</v>
      </c>
      <c r="C151">
        <v>64281</v>
      </c>
      <c r="D151">
        <v>1670</v>
      </c>
      <c r="E151" t="s">
        <v>194</v>
      </c>
      <c r="F151" t="s">
        <v>46</v>
      </c>
      <c r="G151" t="s">
        <v>47</v>
      </c>
      <c r="H151" t="s">
        <v>54</v>
      </c>
      <c r="I151" t="s">
        <v>249</v>
      </c>
      <c r="K151">
        <v>14</v>
      </c>
      <c r="L151">
        <v>14</v>
      </c>
      <c r="M151" s="3">
        <f t="shared" si="2"/>
        <v>0</v>
      </c>
    </row>
    <row r="152" spans="1:13">
      <c r="A152" s="2">
        <v>46057</v>
      </c>
      <c r="B152" t="s">
        <v>44</v>
      </c>
      <c r="C152">
        <v>64281</v>
      </c>
      <c r="D152">
        <v>1671</v>
      </c>
      <c r="E152" t="s">
        <v>184</v>
      </c>
      <c r="F152" t="s">
        <v>46</v>
      </c>
      <c r="G152" t="s">
        <v>47</v>
      </c>
      <c r="H152" t="s">
        <v>54</v>
      </c>
      <c r="K152">
        <v>20</v>
      </c>
      <c r="L152">
        <v>20</v>
      </c>
      <c r="M152" s="3">
        <f t="shared" si="2"/>
        <v>0</v>
      </c>
    </row>
    <row r="153" spans="1:13">
      <c r="A153" s="2">
        <v>46057</v>
      </c>
      <c r="B153" t="s">
        <v>44</v>
      </c>
      <c r="C153">
        <v>64281</v>
      </c>
      <c r="D153">
        <v>1672</v>
      </c>
      <c r="E153" t="s">
        <v>250</v>
      </c>
      <c r="F153" t="s">
        <v>46</v>
      </c>
      <c r="G153" t="s">
        <v>47</v>
      </c>
      <c r="H153" t="s">
        <v>54</v>
      </c>
      <c r="I153" t="s">
        <v>252</v>
      </c>
      <c r="K153">
        <v>11.8</v>
      </c>
      <c r="L153">
        <v>15</v>
      </c>
      <c r="M153" s="3">
        <f t="shared" si="2"/>
        <v>0.27118644067796605</v>
      </c>
    </row>
    <row r="154" spans="1:13">
      <c r="A154" s="2">
        <v>46057</v>
      </c>
      <c r="B154" t="s">
        <v>90</v>
      </c>
      <c r="C154">
        <v>64281</v>
      </c>
      <c r="D154">
        <v>1673</v>
      </c>
      <c r="E154" t="s">
        <v>251</v>
      </c>
      <c r="F154" t="s">
        <v>46</v>
      </c>
      <c r="G154" t="s">
        <v>47</v>
      </c>
      <c r="H154" t="s">
        <v>54</v>
      </c>
      <c r="I154" t="s">
        <v>254</v>
      </c>
      <c r="K154">
        <v>18</v>
      </c>
      <c r="L154">
        <v>18</v>
      </c>
      <c r="M154" s="3">
        <f t="shared" si="2"/>
        <v>0</v>
      </c>
    </row>
    <row r="155" spans="1:13">
      <c r="A155" s="2">
        <v>46057</v>
      </c>
      <c r="B155" t="s">
        <v>44</v>
      </c>
      <c r="C155">
        <v>64281</v>
      </c>
      <c r="D155">
        <v>1674</v>
      </c>
      <c r="E155" t="s">
        <v>253</v>
      </c>
      <c r="F155" t="s">
        <v>46</v>
      </c>
      <c r="G155" t="s">
        <v>47</v>
      </c>
      <c r="H155" t="s">
        <v>54</v>
      </c>
      <c r="I155" t="s">
        <v>256</v>
      </c>
      <c r="K155">
        <v>19</v>
      </c>
      <c r="L155">
        <v>19</v>
      </c>
      <c r="M155" s="3">
        <f t="shared" si="2"/>
        <v>0</v>
      </c>
    </row>
    <row r="156" spans="1:13">
      <c r="A156" s="2">
        <v>46057</v>
      </c>
      <c r="B156" t="s">
        <v>90</v>
      </c>
      <c r="C156">
        <v>64281</v>
      </c>
      <c r="D156">
        <v>1675</v>
      </c>
      <c r="E156" t="s">
        <v>255</v>
      </c>
      <c r="F156" t="s">
        <v>46</v>
      </c>
      <c r="G156" t="s">
        <v>47</v>
      </c>
      <c r="H156" t="s">
        <v>54</v>
      </c>
      <c r="K156">
        <v>20</v>
      </c>
      <c r="L156">
        <v>20</v>
      </c>
      <c r="M156" s="3">
        <f t="shared" si="2"/>
        <v>0</v>
      </c>
    </row>
    <row r="158" spans="1:13">
      <c r="C158" s="2"/>
    </row>
    <row r="159" spans="1:13">
      <c r="C159" s="2"/>
    </row>
    <row r="160" spans="1:1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2AF9-6601-4EEE-8D58-ED0C9E46945E}">
  <sheetPr>
    <tabColor rgb="FFF584ED"/>
  </sheetPr>
  <dimension ref="A1:BC156"/>
  <sheetViews>
    <sheetView tabSelected="1" topLeftCell="A146" workbookViewId="0">
      <selection activeCell="H2" sqref="H2:H156"/>
    </sheetView>
  </sheetViews>
  <sheetFormatPr defaultRowHeight="15"/>
  <cols>
    <col min="1" max="1" width="11.42578125" bestFit="1" customWidth="1"/>
    <col min="2" max="2" width="17.7109375" bestFit="1" customWidth="1"/>
    <col min="4" max="4" width="11.42578125" bestFit="1" customWidth="1"/>
    <col min="5" max="5" width="21" bestFit="1" customWidth="1"/>
    <col min="11" max="11" width="14.5703125" bestFit="1" customWidth="1"/>
    <col min="12" max="12" width="13.5703125" bestFit="1" customWidth="1"/>
  </cols>
  <sheetData>
    <row r="1" spans="1:5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35</v>
      </c>
      <c r="L1" s="1" t="s">
        <v>36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</row>
    <row r="2" spans="1:55">
      <c r="A2" s="2">
        <v>45979</v>
      </c>
      <c r="B2" t="s">
        <v>44</v>
      </c>
      <c r="C2">
        <v>63562</v>
      </c>
      <c r="D2">
        <v>1520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K2">
        <v>-50</v>
      </c>
      <c r="L2">
        <v>-135</v>
      </c>
      <c r="M2">
        <f>COUNT(D2:D156)</f>
        <v>155</v>
      </c>
      <c r="T2" s="2"/>
      <c r="Y2" s="2"/>
    </row>
    <row r="3" spans="1:55">
      <c r="A3" s="2">
        <v>45979</v>
      </c>
      <c r="B3" t="s">
        <v>44</v>
      </c>
      <c r="C3">
        <v>63562</v>
      </c>
      <c r="D3">
        <v>1521</v>
      </c>
      <c r="E3" t="s">
        <v>51</v>
      </c>
      <c r="F3" t="s">
        <v>46</v>
      </c>
      <c r="G3" t="s">
        <v>47</v>
      </c>
      <c r="H3" t="s">
        <v>48</v>
      </c>
      <c r="I3" t="s">
        <v>52</v>
      </c>
      <c r="K3">
        <v>-65</v>
      </c>
      <c r="L3">
        <v>-64</v>
      </c>
      <c r="T3" s="2"/>
      <c r="Y3" s="2"/>
    </row>
    <row r="4" spans="1:55">
      <c r="A4" s="2">
        <v>45979</v>
      </c>
      <c r="B4" t="s">
        <v>44</v>
      </c>
      <c r="C4">
        <v>63563</v>
      </c>
      <c r="D4">
        <v>1522</v>
      </c>
      <c r="E4" t="s">
        <v>53</v>
      </c>
      <c r="F4" t="s">
        <v>46</v>
      </c>
      <c r="G4" t="s">
        <v>47</v>
      </c>
      <c r="H4" t="s">
        <v>54</v>
      </c>
      <c r="I4" t="s">
        <v>55</v>
      </c>
      <c r="K4">
        <v>-75</v>
      </c>
      <c r="L4">
        <v>-25</v>
      </c>
      <c r="T4" s="2"/>
      <c r="Y4" s="2"/>
    </row>
    <row r="5" spans="1:55">
      <c r="A5" s="2">
        <v>45980</v>
      </c>
      <c r="B5" t="s">
        <v>44</v>
      </c>
      <c r="C5">
        <v>63564</v>
      </c>
      <c r="D5">
        <v>1523</v>
      </c>
      <c r="E5" t="s">
        <v>56</v>
      </c>
      <c r="F5" t="s">
        <v>46</v>
      </c>
      <c r="G5" t="s">
        <v>57</v>
      </c>
      <c r="H5" t="s">
        <v>54</v>
      </c>
      <c r="I5" t="s">
        <v>58</v>
      </c>
      <c r="K5">
        <v>-15</v>
      </c>
      <c r="L5" s="4"/>
      <c r="T5" s="2"/>
      <c r="Y5" s="2"/>
    </row>
    <row r="6" spans="1:55">
      <c r="A6" s="2">
        <v>45980</v>
      </c>
      <c r="B6" t="s">
        <v>44</v>
      </c>
      <c r="C6">
        <v>63564</v>
      </c>
      <c r="D6">
        <v>1524</v>
      </c>
      <c r="E6" t="s">
        <v>60</v>
      </c>
      <c r="F6" t="s">
        <v>46</v>
      </c>
      <c r="G6" t="s">
        <v>57</v>
      </c>
      <c r="H6" t="s">
        <v>54</v>
      </c>
      <c r="I6" t="s">
        <v>61</v>
      </c>
      <c r="K6">
        <v>-50</v>
      </c>
      <c r="L6">
        <v>-75</v>
      </c>
      <c r="T6" s="2"/>
      <c r="Y6" s="2"/>
    </row>
    <row r="7" spans="1:55">
      <c r="A7" s="2">
        <v>45980</v>
      </c>
      <c r="B7" t="s">
        <v>44</v>
      </c>
      <c r="C7">
        <v>63564</v>
      </c>
      <c r="D7">
        <v>1525</v>
      </c>
      <c r="E7" t="s">
        <v>62</v>
      </c>
      <c r="F7" t="s">
        <v>46</v>
      </c>
      <c r="G7" t="s">
        <v>57</v>
      </c>
      <c r="H7" t="s">
        <v>54</v>
      </c>
      <c r="K7">
        <v>-10</v>
      </c>
      <c r="L7">
        <v>0</v>
      </c>
      <c r="T7" s="2"/>
      <c r="Y7" s="2"/>
    </row>
    <row r="8" spans="1:55">
      <c r="A8" s="2">
        <v>45980</v>
      </c>
      <c r="B8" t="s">
        <v>44</v>
      </c>
      <c r="C8">
        <v>63565</v>
      </c>
      <c r="D8">
        <v>1526</v>
      </c>
      <c r="E8" t="s">
        <v>63</v>
      </c>
      <c r="F8" t="s">
        <v>46</v>
      </c>
      <c r="G8" t="s">
        <v>57</v>
      </c>
      <c r="H8" t="s">
        <v>48</v>
      </c>
      <c r="K8">
        <v>-30</v>
      </c>
      <c r="L8">
        <v>-10</v>
      </c>
      <c r="T8" s="2"/>
      <c r="Y8" s="2"/>
    </row>
    <row r="9" spans="1:55">
      <c r="A9" s="2">
        <v>45981</v>
      </c>
      <c r="B9" t="s">
        <v>44</v>
      </c>
      <c r="C9">
        <v>63552</v>
      </c>
      <c r="D9">
        <v>1527</v>
      </c>
      <c r="E9" t="s">
        <v>64</v>
      </c>
      <c r="F9" t="s">
        <v>65</v>
      </c>
      <c r="G9" t="s">
        <v>57</v>
      </c>
      <c r="H9" t="s">
        <v>48</v>
      </c>
      <c r="K9">
        <v>-25</v>
      </c>
      <c r="L9" s="4"/>
      <c r="T9" s="2"/>
      <c r="Y9" s="2"/>
    </row>
    <row r="10" spans="1:55">
      <c r="A10" s="2">
        <v>45981</v>
      </c>
      <c r="B10" t="s">
        <v>44</v>
      </c>
      <c r="C10">
        <v>63552</v>
      </c>
      <c r="D10">
        <v>1528</v>
      </c>
      <c r="E10" t="s">
        <v>51</v>
      </c>
      <c r="F10" t="s">
        <v>65</v>
      </c>
      <c r="G10" t="s">
        <v>57</v>
      </c>
      <c r="H10" t="s">
        <v>48</v>
      </c>
      <c r="I10" t="s">
        <v>66</v>
      </c>
      <c r="K10">
        <v>-50</v>
      </c>
      <c r="L10">
        <v>-50</v>
      </c>
      <c r="T10" s="2"/>
      <c r="Y10" s="2"/>
    </row>
    <row r="11" spans="1:55">
      <c r="A11" s="2">
        <v>45981</v>
      </c>
      <c r="B11" t="s">
        <v>44</v>
      </c>
      <c r="C11">
        <v>63553</v>
      </c>
      <c r="D11">
        <v>1529</v>
      </c>
      <c r="E11" t="s">
        <v>53</v>
      </c>
      <c r="F11" t="s">
        <v>65</v>
      </c>
      <c r="G11" t="s">
        <v>57</v>
      </c>
      <c r="H11" t="s">
        <v>54</v>
      </c>
      <c r="I11" t="s">
        <v>67</v>
      </c>
      <c r="K11">
        <v>-25</v>
      </c>
      <c r="L11">
        <v>-50</v>
      </c>
      <c r="T11" s="2"/>
      <c r="Y11" s="2"/>
    </row>
    <row r="12" spans="1:55">
      <c r="A12" s="2">
        <v>45985</v>
      </c>
      <c r="B12" t="s">
        <v>44</v>
      </c>
      <c r="C12">
        <v>63550</v>
      </c>
      <c r="D12">
        <v>1530</v>
      </c>
      <c r="E12" t="s">
        <v>68</v>
      </c>
      <c r="F12" t="s">
        <v>65</v>
      </c>
      <c r="G12" t="s">
        <v>47</v>
      </c>
      <c r="H12" t="s">
        <v>54</v>
      </c>
      <c r="K12">
        <v>-50</v>
      </c>
      <c r="L12">
        <v>-75</v>
      </c>
      <c r="T12" s="2"/>
      <c r="Y12" s="2"/>
    </row>
    <row r="13" spans="1:55">
      <c r="A13" s="2">
        <v>45985</v>
      </c>
      <c r="B13" t="s">
        <v>69</v>
      </c>
      <c r="C13">
        <v>63550</v>
      </c>
      <c r="D13">
        <v>1531</v>
      </c>
      <c r="E13" t="s">
        <v>68</v>
      </c>
      <c r="F13" t="s">
        <v>65</v>
      </c>
      <c r="G13" s="19" t="s">
        <v>47</v>
      </c>
      <c r="H13" s="19" t="s">
        <v>54</v>
      </c>
      <c r="K13">
        <v>5</v>
      </c>
      <c r="L13">
        <v>0</v>
      </c>
      <c r="T13" s="2"/>
      <c r="Y13" s="2"/>
    </row>
    <row r="14" spans="1:55">
      <c r="A14" s="2">
        <v>45985</v>
      </c>
      <c r="B14" t="s">
        <v>44</v>
      </c>
      <c r="C14">
        <v>63550</v>
      </c>
      <c r="D14">
        <v>1532</v>
      </c>
      <c r="E14" t="s">
        <v>72</v>
      </c>
      <c r="F14" t="s">
        <v>65</v>
      </c>
      <c r="G14" t="s">
        <v>47</v>
      </c>
      <c r="H14" t="s">
        <v>54</v>
      </c>
      <c r="I14" t="s">
        <v>73</v>
      </c>
      <c r="K14">
        <v>-50</v>
      </c>
      <c r="L14">
        <v>-125</v>
      </c>
      <c r="T14" s="2"/>
      <c r="Y14" s="2"/>
    </row>
    <row r="15" spans="1:55">
      <c r="A15" s="2">
        <v>45985</v>
      </c>
      <c r="B15" t="s">
        <v>69</v>
      </c>
      <c r="C15">
        <v>63550</v>
      </c>
      <c r="D15">
        <v>1533</v>
      </c>
      <c r="E15" t="s">
        <v>74</v>
      </c>
      <c r="F15" t="s">
        <v>65</v>
      </c>
      <c r="G15" s="19" t="s">
        <v>47</v>
      </c>
      <c r="H15" s="19" t="s">
        <v>54</v>
      </c>
      <c r="K15">
        <v>-10</v>
      </c>
      <c r="L15">
        <v>-25</v>
      </c>
      <c r="T15" s="2"/>
      <c r="Y15" s="2"/>
    </row>
    <row r="16" spans="1:55">
      <c r="A16" s="2">
        <v>45985</v>
      </c>
      <c r="B16" t="s">
        <v>44</v>
      </c>
      <c r="C16">
        <v>63551</v>
      </c>
      <c r="D16">
        <v>1534</v>
      </c>
      <c r="E16" t="s">
        <v>76</v>
      </c>
      <c r="F16" t="s">
        <v>65</v>
      </c>
      <c r="G16" t="s">
        <v>47</v>
      </c>
      <c r="H16" t="s">
        <v>48</v>
      </c>
      <c r="I16" t="s">
        <v>77</v>
      </c>
      <c r="K16">
        <v>-75</v>
      </c>
      <c r="L16">
        <v>-125</v>
      </c>
      <c r="T16" s="2"/>
      <c r="Y16" s="2"/>
    </row>
    <row r="17" spans="1:25">
      <c r="A17" s="2">
        <v>46000</v>
      </c>
      <c r="B17" t="s">
        <v>69</v>
      </c>
      <c r="C17">
        <v>63542</v>
      </c>
      <c r="D17">
        <v>1536</v>
      </c>
      <c r="E17" t="s">
        <v>78</v>
      </c>
      <c r="F17" t="s">
        <v>65</v>
      </c>
      <c r="G17" s="19" t="s">
        <v>57</v>
      </c>
      <c r="H17" s="19" t="s">
        <v>48</v>
      </c>
      <c r="I17" t="s">
        <v>79</v>
      </c>
      <c r="K17">
        <v>-10</v>
      </c>
      <c r="L17">
        <v>-10</v>
      </c>
      <c r="T17" s="2"/>
      <c r="Y17" s="2"/>
    </row>
    <row r="18" spans="1:25">
      <c r="A18" s="2">
        <v>46000</v>
      </c>
      <c r="B18" t="s">
        <v>44</v>
      </c>
      <c r="C18">
        <v>63543</v>
      </c>
      <c r="D18">
        <v>1537</v>
      </c>
      <c r="E18" t="s">
        <v>68</v>
      </c>
      <c r="F18" t="s">
        <v>65</v>
      </c>
      <c r="G18" t="s">
        <v>57</v>
      </c>
      <c r="H18" t="s">
        <v>54</v>
      </c>
      <c r="I18" t="s">
        <v>81</v>
      </c>
      <c r="K18">
        <v>-75</v>
      </c>
      <c r="L18">
        <v>-250</v>
      </c>
      <c r="T18" s="2"/>
      <c r="Y18" s="2"/>
    </row>
    <row r="19" spans="1:25">
      <c r="A19" s="2">
        <v>46000</v>
      </c>
      <c r="B19" t="s">
        <v>69</v>
      </c>
      <c r="C19">
        <v>63543</v>
      </c>
      <c r="D19">
        <v>1538</v>
      </c>
      <c r="E19" t="s">
        <v>82</v>
      </c>
      <c r="F19" t="s">
        <v>65</v>
      </c>
      <c r="G19" s="19" t="s">
        <v>57</v>
      </c>
      <c r="H19" s="19" t="s">
        <v>54</v>
      </c>
      <c r="I19" t="s">
        <v>83</v>
      </c>
      <c r="K19">
        <v>15</v>
      </c>
      <c r="L19">
        <v>10</v>
      </c>
      <c r="T19" s="2"/>
      <c r="Y19" s="2"/>
    </row>
    <row r="20" spans="1:25">
      <c r="A20" s="2">
        <v>46000</v>
      </c>
      <c r="B20" t="s">
        <v>44</v>
      </c>
      <c r="C20">
        <v>63543</v>
      </c>
      <c r="D20">
        <v>1539</v>
      </c>
      <c r="E20" t="s">
        <v>84</v>
      </c>
      <c r="F20" t="s">
        <v>65</v>
      </c>
      <c r="G20" t="s">
        <v>57</v>
      </c>
      <c r="H20" t="s">
        <v>54</v>
      </c>
      <c r="I20" t="s">
        <v>85</v>
      </c>
      <c r="K20">
        <v>-50</v>
      </c>
      <c r="L20">
        <v>-50</v>
      </c>
      <c r="T20" s="2"/>
      <c r="Y20" s="2"/>
    </row>
    <row r="21" spans="1:25">
      <c r="A21" s="2">
        <v>46001</v>
      </c>
      <c r="B21" t="s">
        <v>69</v>
      </c>
      <c r="C21">
        <v>63558</v>
      </c>
      <c r="D21">
        <v>1540</v>
      </c>
      <c r="E21" t="s">
        <v>86</v>
      </c>
      <c r="F21" t="s">
        <v>46</v>
      </c>
      <c r="G21" t="s">
        <v>47</v>
      </c>
      <c r="H21" t="s">
        <v>54</v>
      </c>
      <c r="K21">
        <v>-75</v>
      </c>
      <c r="L21">
        <v>-150</v>
      </c>
      <c r="T21" s="2"/>
      <c r="Y21" s="2"/>
    </row>
    <row r="22" spans="1:25">
      <c r="A22" s="2">
        <v>46001</v>
      </c>
      <c r="B22" t="s">
        <v>69</v>
      </c>
      <c r="C22">
        <v>63559</v>
      </c>
      <c r="D22">
        <v>1541</v>
      </c>
      <c r="E22" t="s">
        <v>87</v>
      </c>
      <c r="F22" t="s">
        <v>46</v>
      </c>
      <c r="G22" s="19" t="s">
        <v>47</v>
      </c>
      <c r="H22" s="19" t="s">
        <v>48</v>
      </c>
      <c r="I22" t="s">
        <v>88</v>
      </c>
      <c r="K22">
        <v>-65</v>
      </c>
      <c r="L22">
        <v>-170</v>
      </c>
      <c r="T22" s="2"/>
      <c r="Y22" s="2"/>
    </row>
    <row r="23" spans="1:25">
      <c r="A23" s="2">
        <v>46001</v>
      </c>
      <c r="B23" t="s">
        <v>90</v>
      </c>
      <c r="C23">
        <v>63559</v>
      </c>
      <c r="D23">
        <v>1542</v>
      </c>
      <c r="E23" t="s">
        <v>91</v>
      </c>
      <c r="F23" t="s">
        <v>46</v>
      </c>
      <c r="G23" s="19" t="s">
        <v>47</v>
      </c>
      <c r="H23" s="19" t="s">
        <v>48</v>
      </c>
      <c r="K23">
        <v>-1600</v>
      </c>
      <c r="L23" s="4"/>
      <c r="T23" s="2"/>
      <c r="Y23" s="2"/>
    </row>
    <row r="24" spans="1:25">
      <c r="A24" s="2">
        <v>46002</v>
      </c>
      <c r="B24" t="s">
        <v>69</v>
      </c>
      <c r="C24">
        <v>63560</v>
      </c>
      <c r="D24">
        <v>1543</v>
      </c>
      <c r="E24" t="s">
        <v>93</v>
      </c>
      <c r="F24" t="s">
        <v>46</v>
      </c>
      <c r="G24" t="s">
        <v>57</v>
      </c>
      <c r="H24" t="s">
        <v>54</v>
      </c>
      <c r="I24" t="s">
        <v>94</v>
      </c>
      <c r="K24">
        <v>-85</v>
      </c>
      <c r="L24">
        <v>-30</v>
      </c>
      <c r="T24" s="2"/>
      <c r="Y24" s="2"/>
    </row>
    <row r="25" spans="1:25">
      <c r="A25" s="2">
        <v>46002</v>
      </c>
      <c r="B25" t="s">
        <v>69</v>
      </c>
      <c r="C25">
        <v>63561</v>
      </c>
      <c r="D25">
        <v>1544</v>
      </c>
      <c r="E25" t="s">
        <v>95</v>
      </c>
      <c r="F25" t="s">
        <v>46</v>
      </c>
      <c r="G25" s="19" t="s">
        <v>57</v>
      </c>
      <c r="H25" s="19" t="s">
        <v>48</v>
      </c>
      <c r="I25" t="s">
        <v>96</v>
      </c>
      <c r="K25">
        <v>-55</v>
      </c>
      <c r="L25">
        <v>-15</v>
      </c>
      <c r="T25" s="2"/>
      <c r="Y25" s="2"/>
    </row>
    <row r="26" spans="1:25">
      <c r="A26" s="2">
        <v>46002</v>
      </c>
      <c r="B26" t="s">
        <v>44</v>
      </c>
      <c r="C26">
        <v>63561</v>
      </c>
      <c r="D26">
        <v>1545</v>
      </c>
      <c r="E26" t="s">
        <v>97</v>
      </c>
      <c r="F26" t="s">
        <v>46</v>
      </c>
      <c r="G26" t="s">
        <v>57</v>
      </c>
      <c r="H26" t="s">
        <v>48</v>
      </c>
      <c r="K26">
        <v>25</v>
      </c>
      <c r="L26">
        <v>50</v>
      </c>
      <c r="T26" s="2"/>
      <c r="Y26" s="2"/>
    </row>
    <row r="27" spans="1:25">
      <c r="A27" s="2">
        <v>46002</v>
      </c>
      <c r="B27" t="s">
        <v>90</v>
      </c>
      <c r="C27">
        <v>63560</v>
      </c>
      <c r="D27">
        <v>1546</v>
      </c>
      <c r="F27" t="s">
        <v>46</v>
      </c>
      <c r="G27" s="19" t="s">
        <v>57</v>
      </c>
      <c r="H27" s="19" t="s">
        <v>48</v>
      </c>
      <c r="K27">
        <v>-325</v>
      </c>
      <c r="L27" s="4"/>
      <c r="T27" s="2"/>
      <c r="Y27" s="2"/>
    </row>
    <row r="28" spans="1:25">
      <c r="A28" s="2">
        <v>46003</v>
      </c>
      <c r="B28" t="s">
        <v>44</v>
      </c>
      <c r="C28">
        <v>63544</v>
      </c>
      <c r="D28">
        <v>1547</v>
      </c>
      <c r="E28" t="s">
        <v>99</v>
      </c>
      <c r="F28" t="s">
        <v>65</v>
      </c>
      <c r="G28" t="s">
        <v>47</v>
      </c>
      <c r="H28" t="s">
        <v>54</v>
      </c>
      <c r="I28" t="s">
        <v>100</v>
      </c>
      <c r="K28">
        <v>-100</v>
      </c>
      <c r="L28">
        <v>-115</v>
      </c>
      <c r="T28" s="2"/>
      <c r="Y28" s="2"/>
    </row>
    <row r="29" spans="1:25">
      <c r="A29" s="2">
        <v>46003</v>
      </c>
      <c r="B29" t="s">
        <v>101</v>
      </c>
      <c r="C29">
        <v>63544</v>
      </c>
      <c r="D29">
        <v>1548</v>
      </c>
      <c r="E29" t="s">
        <v>102</v>
      </c>
      <c r="F29" t="s">
        <v>65</v>
      </c>
      <c r="G29" s="19" t="s">
        <v>47</v>
      </c>
      <c r="H29" s="19" t="s">
        <v>54</v>
      </c>
      <c r="I29" t="s">
        <v>103</v>
      </c>
      <c r="K29">
        <v>-10</v>
      </c>
      <c r="L29">
        <v>-5</v>
      </c>
      <c r="T29" s="2"/>
      <c r="Y29" s="2"/>
    </row>
    <row r="30" spans="1:25">
      <c r="A30" s="2">
        <v>46003</v>
      </c>
      <c r="B30" t="s">
        <v>90</v>
      </c>
      <c r="C30">
        <v>63544</v>
      </c>
      <c r="D30">
        <v>1549</v>
      </c>
      <c r="E30" t="s">
        <v>104</v>
      </c>
      <c r="F30" t="s">
        <v>65</v>
      </c>
      <c r="G30" t="s">
        <v>47</v>
      </c>
      <c r="H30" t="s">
        <v>54</v>
      </c>
      <c r="K30">
        <v>-60</v>
      </c>
      <c r="L30">
        <v>-125</v>
      </c>
      <c r="T30" s="2"/>
      <c r="Y30" s="2"/>
    </row>
    <row r="31" spans="1:25">
      <c r="A31" s="2">
        <v>46003</v>
      </c>
      <c r="B31" t="s">
        <v>69</v>
      </c>
      <c r="C31">
        <v>63545</v>
      </c>
      <c r="D31">
        <v>1550</v>
      </c>
      <c r="E31" t="s">
        <v>105</v>
      </c>
      <c r="F31" t="s">
        <v>65</v>
      </c>
      <c r="G31" t="s">
        <v>47</v>
      </c>
      <c r="H31" t="s">
        <v>48</v>
      </c>
      <c r="I31" t="s">
        <v>106</v>
      </c>
      <c r="K31">
        <v>-80</v>
      </c>
      <c r="L31">
        <v>-50</v>
      </c>
      <c r="T31" s="2"/>
      <c r="Y31" s="2"/>
    </row>
    <row r="32" spans="1:25">
      <c r="A32" s="2">
        <v>46003</v>
      </c>
      <c r="B32" t="s">
        <v>44</v>
      </c>
      <c r="C32">
        <v>63545</v>
      </c>
      <c r="D32">
        <v>1551</v>
      </c>
      <c r="E32" t="s">
        <v>107</v>
      </c>
      <c r="F32" t="s">
        <v>65</v>
      </c>
      <c r="G32" t="s">
        <v>47</v>
      </c>
      <c r="H32" t="s">
        <v>108</v>
      </c>
      <c r="I32" t="s">
        <v>109</v>
      </c>
      <c r="K32">
        <v>-35</v>
      </c>
      <c r="L32">
        <v>-70</v>
      </c>
      <c r="T32" s="2"/>
      <c r="Y32" s="2"/>
    </row>
    <row r="33" spans="1:25">
      <c r="A33" s="2">
        <v>46003</v>
      </c>
      <c r="B33" t="s">
        <v>90</v>
      </c>
      <c r="C33">
        <v>63545</v>
      </c>
      <c r="D33">
        <v>1552</v>
      </c>
      <c r="E33" t="s">
        <v>110</v>
      </c>
      <c r="F33" t="s">
        <v>65</v>
      </c>
      <c r="G33" s="81" t="s">
        <v>47</v>
      </c>
      <c r="H33" s="81" t="s">
        <v>48</v>
      </c>
      <c r="K33">
        <v>-100</v>
      </c>
      <c r="L33">
        <v>-240</v>
      </c>
      <c r="T33" s="2"/>
      <c r="Y33" s="2"/>
    </row>
    <row r="34" spans="1:25">
      <c r="A34" s="2">
        <v>46007</v>
      </c>
      <c r="B34" t="s">
        <v>44</v>
      </c>
      <c r="C34">
        <v>63549</v>
      </c>
      <c r="D34">
        <v>1553</v>
      </c>
      <c r="E34" t="s">
        <v>99</v>
      </c>
      <c r="F34" t="s">
        <v>65</v>
      </c>
      <c r="G34" t="s">
        <v>57</v>
      </c>
      <c r="H34" t="s">
        <v>48</v>
      </c>
      <c r="K34">
        <v>15</v>
      </c>
      <c r="L34">
        <v>10</v>
      </c>
    </row>
    <row r="35" spans="1:25">
      <c r="A35" s="2">
        <v>46007</v>
      </c>
      <c r="B35" t="s">
        <v>69</v>
      </c>
      <c r="C35">
        <v>63549</v>
      </c>
      <c r="D35">
        <v>1554</v>
      </c>
      <c r="E35" t="s">
        <v>93</v>
      </c>
      <c r="F35" t="s">
        <v>65</v>
      </c>
      <c r="G35" t="s">
        <v>57</v>
      </c>
      <c r="H35" t="s">
        <v>48</v>
      </c>
      <c r="K35">
        <v>-10.5</v>
      </c>
      <c r="L35">
        <v>20</v>
      </c>
    </row>
    <row r="36" spans="1:25">
      <c r="A36" s="2">
        <v>46007</v>
      </c>
      <c r="B36" t="s">
        <v>44</v>
      </c>
      <c r="C36">
        <v>63549</v>
      </c>
      <c r="D36">
        <v>1555</v>
      </c>
      <c r="E36" t="s">
        <v>111</v>
      </c>
      <c r="F36" t="s">
        <v>65</v>
      </c>
      <c r="G36" t="s">
        <v>57</v>
      </c>
      <c r="H36" t="s">
        <v>48</v>
      </c>
      <c r="I36" t="s">
        <v>112</v>
      </c>
      <c r="K36">
        <v>-10</v>
      </c>
      <c r="L36">
        <v>-10</v>
      </c>
    </row>
    <row r="37" spans="1:25">
      <c r="A37" s="2">
        <v>46007</v>
      </c>
      <c r="B37" t="s">
        <v>69</v>
      </c>
      <c r="C37">
        <v>63549</v>
      </c>
      <c r="D37">
        <v>1556</v>
      </c>
      <c r="E37" t="s">
        <v>113</v>
      </c>
      <c r="F37" t="s">
        <v>65</v>
      </c>
      <c r="G37" t="s">
        <v>57</v>
      </c>
      <c r="H37" t="s">
        <v>48</v>
      </c>
      <c r="K37">
        <v>-30</v>
      </c>
      <c r="L37">
        <v>-190</v>
      </c>
    </row>
    <row r="38" spans="1:25">
      <c r="A38" s="2">
        <v>46007</v>
      </c>
      <c r="B38" t="s">
        <v>90</v>
      </c>
      <c r="C38">
        <v>63549</v>
      </c>
      <c r="D38">
        <v>1557</v>
      </c>
      <c r="E38" t="s">
        <v>114</v>
      </c>
      <c r="F38" t="s">
        <v>65</v>
      </c>
      <c r="G38" t="s">
        <v>57</v>
      </c>
      <c r="H38" t="s">
        <v>48</v>
      </c>
      <c r="I38" t="s">
        <v>115</v>
      </c>
      <c r="K38">
        <v>-25</v>
      </c>
      <c r="L38">
        <v>-17.2</v>
      </c>
    </row>
    <row r="39" spans="1:25">
      <c r="A39" s="2">
        <v>46007</v>
      </c>
      <c r="B39" t="s">
        <v>69</v>
      </c>
      <c r="C39">
        <v>63546</v>
      </c>
      <c r="D39">
        <v>1558</v>
      </c>
      <c r="E39" t="s">
        <v>116</v>
      </c>
      <c r="F39" t="s">
        <v>65</v>
      </c>
      <c r="G39" t="s">
        <v>57</v>
      </c>
      <c r="H39" t="s">
        <v>54</v>
      </c>
      <c r="K39">
        <v>-15</v>
      </c>
      <c r="L39">
        <v>10</v>
      </c>
    </row>
    <row r="40" spans="1:25">
      <c r="A40" s="2">
        <v>46007</v>
      </c>
      <c r="B40" t="s">
        <v>69</v>
      </c>
      <c r="C40">
        <v>63546</v>
      </c>
      <c r="D40">
        <v>1559</v>
      </c>
      <c r="E40" t="s">
        <v>117</v>
      </c>
      <c r="F40" t="s">
        <v>65</v>
      </c>
      <c r="G40" t="s">
        <v>57</v>
      </c>
      <c r="H40" t="s">
        <v>54</v>
      </c>
      <c r="K40">
        <v>-55</v>
      </c>
      <c r="L40">
        <v>-70</v>
      </c>
    </row>
    <row r="41" spans="1:25">
      <c r="A41" s="2">
        <v>46007</v>
      </c>
      <c r="B41" t="s">
        <v>44</v>
      </c>
      <c r="C41">
        <v>63546</v>
      </c>
      <c r="D41">
        <v>1560</v>
      </c>
      <c r="E41" t="s">
        <v>118</v>
      </c>
      <c r="F41" t="s">
        <v>65</v>
      </c>
      <c r="G41" t="s">
        <v>57</v>
      </c>
      <c r="H41" t="s">
        <v>54</v>
      </c>
      <c r="I41" t="s">
        <v>119</v>
      </c>
      <c r="K41">
        <v>-35</v>
      </c>
      <c r="L41">
        <v>-35</v>
      </c>
    </row>
    <row r="42" spans="1:25">
      <c r="A42" s="2">
        <v>46007</v>
      </c>
      <c r="B42" t="s">
        <v>90</v>
      </c>
      <c r="C42">
        <v>63546</v>
      </c>
      <c r="D42">
        <v>1561</v>
      </c>
      <c r="E42" t="s">
        <v>120</v>
      </c>
      <c r="F42" t="s">
        <v>65</v>
      </c>
      <c r="G42" s="58" t="s">
        <v>57</v>
      </c>
      <c r="H42" s="58" t="s">
        <v>54</v>
      </c>
      <c r="I42" t="s">
        <v>121</v>
      </c>
      <c r="K42">
        <v>-175</v>
      </c>
      <c r="L42">
        <v>-400</v>
      </c>
    </row>
    <row r="43" spans="1:25">
      <c r="A43" s="2">
        <v>46008</v>
      </c>
      <c r="B43" t="s">
        <v>90</v>
      </c>
      <c r="C43">
        <v>63554</v>
      </c>
      <c r="D43">
        <v>1562</v>
      </c>
      <c r="E43" t="s">
        <v>91</v>
      </c>
      <c r="F43" t="s">
        <v>46</v>
      </c>
      <c r="G43" s="19" t="s">
        <v>57</v>
      </c>
      <c r="H43" s="19" t="s">
        <v>54</v>
      </c>
      <c r="K43">
        <v>-3</v>
      </c>
      <c r="L43">
        <v>-2000</v>
      </c>
    </row>
    <row r="44" spans="1:25">
      <c r="A44" s="2">
        <v>46008</v>
      </c>
      <c r="B44" t="s">
        <v>44</v>
      </c>
      <c r="C44">
        <v>63554</v>
      </c>
      <c r="D44">
        <v>1563</v>
      </c>
      <c r="E44" t="s">
        <v>122</v>
      </c>
      <c r="F44" t="s">
        <v>46</v>
      </c>
      <c r="G44" t="s">
        <v>57</v>
      </c>
      <c r="H44" t="s">
        <v>54</v>
      </c>
      <c r="I44" t="s">
        <v>123</v>
      </c>
      <c r="K44">
        <v>-100</v>
      </c>
      <c r="L44">
        <v>-140</v>
      </c>
    </row>
    <row r="45" spans="1:25">
      <c r="A45" s="2">
        <v>46008</v>
      </c>
      <c r="B45" t="s">
        <v>44</v>
      </c>
      <c r="C45">
        <v>63554</v>
      </c>
      <c r="D45">
        <v>1564</v>
      </c>
      <c r="E45" t="s">
        <v>124</v>
      </c>
      <c r="F45" t="s">
        <v>46</v>
      </c>
      <c r="G45" t="s">
        <v>57</v>
      </c>
      <c r="H45" t="s">
        <v>54</v>
      </c>
      <c r="I45" t="s">
        <v>125</v>
      </c>
      <c r="K45">
        <v>-125</v>
      </c>
      <c r="L45">
        <v>-185</v>
      </c>
    </row>
    <row r="46" spans="1:25">
      <c r="A46" s="2">
        <v>46008</v>
      </c>
      <c r="B46" t="s">
        <v>44</v>
      </c>
      <c r="C46">
        <v>63555</v>
      </c>
      <c r="D46">
        <v>1565</v>
      </c>
      <c r="E46" t="s">
        <v>126</v>
      </c>
      <c r="F46" t="s">
        <v>46</v>
      </c>
      <c r="G46" t="s">
        <v>57</v>
      </c>
      <c r="H46" t="s">
        <v>48</v>
      </c>
      <c r="I46" t="s">
        <v>127</v>
      </c>
      <c r="K46">
        <v>10</v>
      </c>
      <c r="L46">
        <v>0</v>
      </c>
    </row>
    <row r="47" spans="1:25">
      <c r="A47" s="2">
        <v>46008</v>
      </c>
      <c r="B47" t="s">
        <v>90</v>
      </c>
      <c r="C47">
        <v>63555</v>
      </c>
      <c r="D47">
        <v>1566</v>
      </c>
      <c r="E47" t="s">
        <v>104</v>
      </c>
      <c r="F47" t="s">
        <v>46</v>
      </c>
      <c r="G47" s="19" t="s">
        <v>57</v>
      </c>
      <c r="H47" s="19" t="s">
        <v>48</v>
      </c>
      <c r="K47">
        <v>-14</v>
      </c>
      <c r="L47">
        <v>-2000</v>
      </c>
    </row>
    <row r="48" spans="1:25">
      <c r="A48" s="2">
        <v>46008</v>
      </c>
      <c r="B48" t="s">
        <v>90</v>
      </c>
      <c r="C48">
        <v>63555</v>
      </c>
      <c r="D48">
        <v>1567</v>
      </c>
      <c r="E48" t="s">
        <v>110</v>
      </c>
      <c r="F48" t="s">
        <v>46</v>
      </c>
      <c r="G48" t="s">
        <v>57</v>
      </c>
      <c r="H48" t="s">
        <v>48</v>
      </c>
      <c r="K48">
        <v>-14</v>
      </c>
      <c r="L48">
        <v>-70</v>
      </c>
    </row>
    <row r="49" spans="1:12">
      <c r="A49" s="2">
        <v>46009</v>
      </c>
      <c r="B49" t="s">
        <v>69</v>
      </c>
      <c r="C49">
        <v>63556</v>
      </c>
      <c r="D49">
        <v>1568</v>
      </c>
      <c r="E49" t="s">
        <v>114</v>
      </c>
      <c r="F49" t="s">
        <v>46</v>
      </c>
      <c r="G49" t="s">
        <v>47</v>
      </c>
      <c r="H49" t="s">
        <v>54</v>
      </c>
      <c r="K49">
        <v>-15</v>
      </c>
      <c r="L49">
        <v>20</v>
      </c>
    </row>
    <row r="50" spans="1:12">
      <c r="A50" s="2">
        <v>46009</v>
      </c>
      <c r="B50" t="s">
        <v>69</v>
      </c>
      <c r="C50">
        <v>63556</v>
      </c>
      <c r="D50">
        <v>1569</v>
      </c>
      <c r="E50" t="s">
        <v>129</v>
      </c>
      <c r="F50" t="s">
        <v>46</v>
      </c>
      <c r="G50" t="s">
        <v>47</v>
      </c>
      <c r="H50" t="s">
        <v>54</v>
      </c>
      <c r="K50">
        <v>-40</v>
      </c>
      <c r="L50">
        <v>-20</v>
      </c>
    </row>
    <row r="51" spans="1:12">
      <c r="A51" s="2">
        <v>46009</v>
      </c>
      <c r="B51" t="s">
        <v>44</v>
      </c>
      <c r="C51">
        <v>63556</v>
      </c>
      <c r="D51">
        <v>1570</v>
      </c>
      <c r="E51" t="s">
        <v>99</v>
      </c>
      <c r="F51" t="s">
        <v>46</v>
      </c>
      <c r="G51" t="s">
        <v>47</v>
      </c>
      <c r="H51" t="s">
        <v>54</v>
      </c>
      <c r="I51" t="s">
        <v>130</v>
      </c>
      <c r="K51">
        <v>-25</v>
      </c>
      <c r="L51">
        <v>-60</v>
      </c>
    </row>
    <row r="52" spans="1:12">
      <c r="A52" s="2">
        <v>46009</v>
      </c>
      <c r="B52" t="s">
        <v>44</v>
      </c>
      <c r="C52">
        <v>63556</v>
      </c>
      <c r="D52">
        <v>1571</v>
      </c>
      <c r="E52" t="s">
        <v>120</v>
      </c>
      <c r="F52" t="s">
        <v>46</v>
      </c>
      <c r="G52" s="58" t="s">
        <v>47</v>
      </c>
      <c r="H52" s="58" t="s">
        <v>54</v>
      </c>
      <c r="K52">
        <v>-125</v>
      </c>
      <c r="L52">
        <v>-75</v>
      </c>
    </row>
    <row r="53" spans="1:12">
      <c r="A53" s="2">
        <v>46009</v>
      </c>
      <c r="B53" t="s">
        <v>44</v>
      </c>
      <c r="C53">
        <v>63557</v>
      </c>
      <c r="D53">
        <v>1572</v>
      </c>
      <c r="E53" t="s">
        <v>131</v>
      </c>
      <c r="F53" t="s">
        <v>46</v>
      </c>
      <c r="G53" t="s">
        <v>47</v>
      </c>
      <c r="H53" t="s">
        <v>48</v>
      </c>
      <c r="I53" t="s">
        <v>132</v>
      </c>
      <c r="K53">
        <v>-25</v>
      </c>
      <c r="L53">
        <v>-75</v>
      </c>
    </row>
    <row r="54" spans="1:12">
      <c r="A54" s="2">
        <v>46010</v>
      </c>
      <c r="B54" t="s">
        <v>69</v>
      </c>
      <c r="C54">
        <v>63547</v>
      </c>
      <c r="D54">
        <v>1573</v>
      </c>
      <c r="E54" t="s">
        <v>133</v>
      </c>
      <c r="F54" t="s">
        <v>65</v>
      </c>
      <c r="G54" t="s">
        <v>47</v>
      </c>
      <c r="H54" t="s">
        <v>48</v>
      </c>
      <c r="I54" t="s">
        <v>134</v>
      </c>
      <c r="K54">
        <v>-60</v>
      </c>
      <c r="L54">
        <v>-40</v>
      </c>
    </row>
    <row r="55" spans="1:12">
      <c r="A55" s="2">
        <v>46010</v>
      </c>
      <c r="B55" t="s">
        <v>69</v>
      </c>
      <c r="C55">
        <v>63548</v>
      </c>
      <c r="D55">
        <v>1574</v>
      </c>
      <c r="E55" t="s">
        <v>114</v>
      </c>
      <c r="F55" t="s">
        <v>65</v>
      </c>
      <c r="G55" t="s">
        <v>47</v>
      </c>
      <c r="H55" t="s">
        <v>54</v>
      </c>
      <c r="I55" t="s">
        <v>135</v>
      </c>
      <c r="K55">
        <v>-10</v>
      </c>
      <c r="L55">
        <v>55</v>
      </c>
    </row>
    <row r="56" spans="1:12">
      <c r="A56" s="2">
        <v>46010</v>
      </c>
      <c r="B56" t="s">
        <v>90</v>
      </c>
      <c r="C56">
        <v>63548</v>
      </c>
      <c r="D56">
        <v>1575</v>
      </c>
      <c r="E56" t="s">
        <v>87</v>
      </c>
      <c r="F56" t="s">
        <v>65</v>
      </c>
      <c r="G56" s="58" t="s">
        <v>47</v>
      </c>
      <c r="H56" s="58" t="s">
        <v>54</v>
      </c>
      <c r="I56" t="s">
        <v>136</v>
      </c>
      <c r="K56">
        <v>-20</v>
      </c>
      <c r="L56">
        <v>-35</v>
      </c>
    </row>
    <row r="57" spans="1:12">
      <c r="A57" s="2">
        <v>46010</v>
      </c>
      <c r="B57" t="s">
        <v>69</v>
      </c>
      <c r="C57">
        <v>63548</v>
      </c>
      <c r="D57">
        <v>1576</v>
      </c>
      <c r="E57" t="s">
        <v>120</v>
      </c>
      <c r="F57" t="s">
        <v>65</v>
      </c>
      <c r="G57" t="s">
        <v>47</v>
      </c>
      <c r="H57" t="s">
        <v>54</v>
      </c>
      <c r="I57" t="s">
        <v>138</v>
      </c>
      <c r="K57">
        <v>-50</v>
      </c>
      <c r="L57">
        <v>-20</v>
      </c>
    </row>
    <row r="58" spans="1:12" s="77" customFormat="1">
      <c r="A58" s="152">
        <v>46010</v>
      </c>
      <c r="B58" s="77" t="s">
        <v>90</v>
      </c>
      <c r="C58" s="77">
        <v>63548</v>
      </c>
      <c r="D58" s="77">
        <v>1577</v>
      </c>
      <c r="E58" s="77" t="s">
        <v>110</v>
      </c>
      <c r="F58" s="77" t="s">
        <v>65</v>
      </c>
      <c r="G58" t="s">
        <v>47</v>
      </c>
      <c r="H58" t="s">
        <v>54</v>
      </c>
      <c r="I58" s="77" t="s">
        <v>139</v>
      </c>
      <c r="K58" s="77">
        <v>-20</v>
      </c>
      <c r="L58" s="77">
        <v>-25</v>
      </c>
    </row>
    <row r="59" spans="1:12">
      <c r="A59" s="2">
        <v>46028</v>
      </c>
      <c r="B59" t="s">
        <v>44</v>
      </c>
      <c r="C59">
        <v>64063</v>
      </c>
      <c r="D59">
        <v>1578</v>
      </c>
      <c r="E59" t="s">
        <v>140</v>
      </c>
      <c r="F59" t="s">
        <v>46</v>
      </c>
      <c r="G59" t="s">
        <v>47</v>
      </c>
      <c r="H59" t="s">
        <v>48</v>
      </c>
      <c r="I59" t="s">
        <v>141</v>
      </c>
      <c r="K59">
        <v>-25</v>
      </c>
      <c r="L59">
        <v>-50</v>
      </c>
    </row>
    <row r="60" spans="1:12">
      <c r="A60" s="2">
        <v>46028</v>
      </c>
      <c r="B60" t="s">
        <v>44</v>
      </c>
      <c r="C60">
        <v>64063</v>
      </c>
      <c r="D60">
        <v>1579</v>
      </c>
      <c r="E60" t="s">
        <v>142</v>
      </c>
      <c r="F60" t="s">
        <v>46</v>
      </c>
      <c r="G60" t="s">
        <v>47</v>
      </c>
      <c r="H60" t="s">
        <v>48</v>
      </c>
      <c r="I60" t="s">
        <v>143</v>
      </c>
      <c r="K60">
        <v>-15</v>
      </c>
      <c r="L60">
        <v>0</v>
      </c>
    </row>
    <row r="61" spans="1:12">
      <c r="A61" s="2">
        <v>46028</v>
      </c>
      <c r="B61" t="s">
        <v>44</v>
      </c>
      <c r="C61">
        <v>64064</v>
      </c>
      <c r="D61">
        <v>1580</v>
      </c>
      <c r="E61" t="s">
        <v>144</v>
      </c>
      <c r="F61" t="s">
        <v>46</v>
      </c>
      <c r="G61" t="s">
        <v>47</v>
      </c>
      <c r="H61" t="s">
        <v>54</v>
      </c>
      <c r="K61">
        <v>-50</v>
      </c>
      <c r="L61">
        <v>-125</v>
      </c>
    </row>
    <row r="62" spans="1:12">
      <c r="A62" s="2">
        <v>46028</v>
      </c>
      <c r="B62" t="s">
        <v>44</v>
      </c>
      <c r="C62">
        <v>64064</v>
      </c>
      <c r="D62">
        <v>1581</v>
      </c>
      <c r="E62" t="s">
        <v>145</v>
      </c>
      <c r="F62" t="s">
        <v>46</v>
      </c>
      <c r="G62" t="s">
        <v>47</v>
      </c>
      <c r="H62" t="s">
        <v>54</v>
      </c>
      <c r="K62">
        <v>-70</v>
      </c>
      <c r="L62">
        <v>-15</v>
      </c>
    </row>
    <row r="63" spans="1:12">
      <c r="A63" s="2">
        <v>46028</v>
      </c>
      <c r="B63" t="s">
        <v>90</v>
      </c>
      <c r="C63">
        <v>64064</v>
      </c>
      <c r="D63">
        <v>1582</v>
      </c>
      <c r="E63" t="s">
        <v>102</v>
      </c>
      <c r="F63" t="s">
        <v>46</v>
      </c>
      <c r="G63" s="19" t="s">
        <v>47</v>
      </c>
      <c r="H63" s="19" t="s">
        <v>54</v>
      </c>
      <c r="K63" t="s">
        <v>278</v>
      </c>
      <c r="L63">
        <v>-450</v>
      </c>
    </row>
    <row r="64" spans="1:12">
      <c r="A64" s="2">
        <v>46030</v>
      </c>
      <c r="B64" t="s">
        <v>44</v>
      </c>
      <c r="C64">
        <v>64055</v>
      </c>
      <c r="D64">
        <v>1583</v>
      </c>
      <c r="E64" t="s">
        <v>99</v>
      </c>
      <c r="F64" t="s">
        <v>65</v>
      </c>
      <c r="G64" t="s">
        <v>47</v>
      </c>
      <c r="H64" t="s">
        <v>48</v>
      </c>
      <c r="I64" t="s">
        <v>147</v>
      </c>
      <c r="K64">
        <v>-35</v>
      </c>
      <c r="L64">
        <v>20</v>
      </c>
    </row>
    <row r="65" spans="1:12">
      <c r="A65" s="2">
        <v>46030</v>
      </c>
      <c r="B65" t="s">
        <v>44</v>
      </c>
      <c r="C65">
        <v>64056</v>
      </c>
      <c r="D65">
        <v>1584</v>
      </c>
      <c r="E65" t="s">
        <v>148</v>
      </c>
      <c r="F65" t="s">
        <v>65</v>
      </c>
      <c r="G65" t="s">
        <v>47</v>
      </c>
      <c r="H65" t="s">
        <v>54</v>
      </c>
      <c r="K65">
        <v>-125</v>
      </c>
      <c r="L65" s="4"/>
    </row>
    <row r="66" spans="1:12">
      <c r="A66" s="2">
        <v>46030</v>
      </c>
      <c r="B66" t="s">
        <v>69</v>
      </c>
      <c r="C66">
        <v>64056</v>
      </c>
      <c r="D66">
        <v>1585</v>
      </c>
      <c r="E66" t="s">
        <v>149</v>
      </c>
      <c r="F66" t="s">
        <v>65</v>
      </c>
      <c r="G66" t="s">
        <v>47</v>
      </c>
      <c r="H66" t="s">
        <v>54</v>
      </c>
      <c r="K66">
        <v>-35</v>
      </c>
      <c r="L66" s="4"/>
    </row>
    <row r="67" spans="1:12">
      <c r="A67" s="2">
        <v>46030</v>
      </c>
      <c r="B67" t="s">
        <v>90</v>
      </c>
      <c r="C67">
        <v>64056</v>
      </c>
      <c r="D67">
        <v>1586</v>
      </c>
      <c r="E67" t="s">
        <v>149</v>
      </c>
      <c r="F67" t="s">
        <v>65</v>
      </c>
      <c r="G67" t="s">
        <v>47</v>
      </c>
      <c r="H67" t="s">
        <v>54</v>
      </c>
      <c r="K67">
        <v>-15</v>
      </c>
      <c r="L67" s="4"/>
    </row>
    <row r="68" spans="1:12">
      <c r="A68" s="2">
        <v>46030</v>
      </c>
      <c r="B68" t="s">
        <v>90</v>
      </c>
      <c r="C68">
        <v>64056</v>
      </c>
      <c r="D68">
        <v>1587</v>
      </c>
      <c r="E68" t="s">
        <v>150</v>
      </c>
      <c r="F68" t="s">
        <v>65</v>
      </c>
      <c r="G68" t="s">
        <v>47</v>
      </c>
      <c r="H68" t="s">
        <v>54</v>
      </c>
      <c r="I68" t="s">
        <v>151</v>
      </c>
      <c r="K68">
        <v>10</v>
      </c>
      <c r="L68" s="4"/>
    </row>
    <row r="69" spans="1:12">
      <c r="A69" s="2">
        <v>46031</v>
      </c>
      <c r="B69" t="s">
        <v>90</v>
      </c>
      <c r="C69">
        <v>64065</v>
      </c>
      <c r="D69">
        <v>1588</v>
      </c>
      <c r="E69" t="s">
        <v>68</v>
      </c>
      <c r="F69" t="s">
        <v>46</v>
      </c>
      <c r="G69" s="19" t="s">
        <v>57</v>
      </c>
      <c r="H69" s="19" t="s">
        <v>54</v>
      </c>
      <c r="I69" t="s">
        <v>153</v>
      </c>
      <c r="K69">
        <v>-110</v>
      </c>
      <c r="L69">
        <v>-125</v>
      </c>
    </row>
    <row r="70" spans="1:12">
      <c r="A70" s="2">
        <v>46031</v>
      </c>
      <c r="B70" t="s">
        <v>44</v>
      </c>
      <c r="C70">
        <v>64065</v>
      </c>
      <c r="D70">
        <v>1589</v>
      </c>
      <c r="E70" t="s">
        <v>99</v>
      </c>
      <c r="F70" t="s">
        <v>46</v>
      </c>
      <c r="G70" t="s">
        <v>57</v>
      </c>
      <c r="H70" t="s">
        <v>54</v>
      </c>
      <c r="K70">
        <v>-67</v>
      </c>
      <c r="L70" s="4"/>
    </row>
    <row r="71" spans="1:12">
      <c r="A71" s="2">
        <v>46031</v>
      </c>
      <c r="B71" t="s">
        <v>44</v>
      </c>
      <c r="C71">
        <v>64065</v>
      </c>
      <c r="D71">
        <v>1590</v>
      </c>
      <c r="E71" t="s">
        <v>142</v>
      </c>
      <c r="F71" t="s">
        <v>46</v>
      </c>
      <c r="G71" t="s">
        <v>57</v>
      </c>
      <c r="H71" t="s">
        <v>54</v>
      </c>
      <c r="I71" t="s">
        <v>155</v>
      </c>
      <c r="K71">
        <v>-50</v>
      </c>
      <c r="L71">
        <v>12</v>
      </c>
    </row>
    <row r="72" spans="1:12">
      <c r="A72" s="2">
        <v>46031</v>
      </c>
      <c r="B72" t="s">
        <v>69</v>
      </c>
      <c r="C72">
        <v>64066</v>
      </c>
      <c r="D72">
        <v>1591</v>
      </c>
      <c r="E72" t="s">
        <v>99</v>
      </c>
      <c r="F72" t="s">
        <v>46</v>
      </c>
      <c r="G72" t="s">
        <v>57</v>
      </c>
      <c r="H72" t="s">
        <v>48</v>
      </c>
      <c r="I72" t="s">
        <v>153</v>
      </c>
      <c r="K72">
        <v>-20</v>
      </c>
      <c r="L72">
        <v>70</v>
      </c>
    </row>
    <row r="73" spans="1:12">
      <c r="A73" s="2">
        <v>46035</v>
      </c>
      <c r="B73" t="s">
        <v>44</v>
      </c>
      <c r="C73">
        <v>64059</v>
      </c>
      <c r="D73">
        <v>1592</v>
      </c>
      <c r="E73" t="s">
        <v>99</v>
      </c>
      <c r="F73" t="s">
        <v>65</v>
      </c>
      <c r="G73" t="s">
        <v>47</v>
      </c>
      <c r="H73" t="s">
        <v>54</v>
      </c>
      <c r="I73" t="s">
        <v>156</v>
      </c>
      <c r="K73">
        <v>-65</v>
      </c>
      <c r="L73">
        <v>-125</v>
      </c>
    </row>
    <row r="74" spans="1:12">
      <c r="A74" s="2">
        <v>46035</v>
      </c>
      <c r="B74" t="s">
        <v>44</v>
      </c>
      <c r="C74">
        <v>64059</v>
      </c>
      <c r="D74">
        <v>1593</v>
      </c>
      <c r="E74" t="s">
        <v>142</v>
      </c>
      <c r="F74" t="s">
        <v>65</v>
      </c>
      <c r="G74" t="s">
        <v>47</v>
      </c>
      <c r="H74" t="s">
        <v>54</v>
      </c>
      <c r="I74" t="s">
        <v>157</v>
      </c>
      <c r="K74">
        <v>-75</v>
      </c>
      <c r="L74">
        <v>-135</v>
      </c>
    </row>
    <row r="75" spans="1:12">
      <c r="A75" s="2">
        <v>46035</v>
      </c>
      <c r="B75" t="s">
        <v>158</v>
      </c>
      <c r="C75">
        <v>64059</v>
      </c>
      <c r="D75">
        <v>1594</v>
      </c>
      <c r="F75" t="s">
        <v>65</v>
      </c>
      <c r="G75" s="19" t="s">
        <v>47</v>
      </c>
      <c r="H75" s="19" t="s">
        <v>54</v>
      </c>
      <c r="K75">
        <v>-15</v>
      </c>
      <c r="L75">
        <v>20</v>
      </c>
    </row>
    <row r="76" spans="1:12">
      <c r="A76" s="2">
        <v>46035</v>
      </c>
      <c r="B76" t="s">
        <v>44</v>
      </c>
      <c r="C76">
        <v>64060</v>
      </c>
      <c r="D76">
        <v>1595</v>
      </c>
      <c r="E76" t="s">
        <v>159</v>
      </c>
      <c r="F76" t="s">
        <v>65</v>
      </c>
      <c r="G76" t="s">
        <v>47</v>
      </c>
      <c r="H76" t="s">
        <v>48</v>
      </c>
      <c r="I76" t="s">
        <v>160</v>
      </c>
      <c r="K76">
        <v>-35</v>
      </c>
      <c r="L76">
        <v>-60</v>
      </c>
    </row>
    <row r="77" spans="1:12">
      <c r="A77" s="2">
        <v>46036</v>
      </c>
      <c r="B77" t="s">
        <v>44</v>
      </c>
      <c r="C77">
        <v>64057</v>
      </c>
      <c r="D77">
        <v>1596</v>
      </c>
      <c r="E77" t="s">
        <v>107</v>
      </c>
      <c r="F77" t="s">
        <v>65</v>
      </c>
      <c r="G77" t="s">
        <v>57</v>
      </c>
      <c r="H77" t="s">
        <v>48</v>
      </c>
      <c r="I77" t="s">
        <v>161</v>
      </c>
      <c r="K77">
        <v>-25</v>
      </c>
      <c r="L77">
        <v>-25</v>
      </c>
    </row>
    <row r="78" spans="1:12">
      <c r="A78" s="2">
        <v>46036</v>
      </c>
      <c r="B78" t="s">
        <v>44</v>
      </c>
      <c r="C78">
        <v>64057</v>
      </c>
      <c r="D78">
        <v>1597</v>
      </c>
      <c r="E78" t="s">
        <v>116</v>
      </c>
      <c r="F78" t="s">
        <v>65</v>
      </c>
      <c r="G78" t="s">
        <v>57</v>
      </c>
      <c r="H78" t="s">
        <v>48</v>
      </c>
      <c r="I78" t="s">
        <v>162</v>
      </c>
      <c r="K78">
        <v>-25</v>
      </c>
      <c r="L78">
        <v>25</v>
      </c>
    </row>
    <row r="79" spans="1:12">
      <c r="A79" s="2">
        <v>46036</v>
      </c>
      <c r="B79" t="s">
        <v>44</v>
      </c>
      <c r="C79">
        <v>64058</v>
      </c>
      <c r="D79">
        <v>1598</v>
      </c>
      <c r="E79" t="s">
        <v>163</v>
      </c>
      <c r="F79" t="s">
        <v>65</v>
      </c>
      <c r="G79" s="19" t="s">
        <v>57</v>
      </c>
      <c r="H79" s="19" t="s">
        <v>54</v>
      </c>
      <c r="I79" t="s">
        <v>164</v>
      </c>
      <c r="K79">
        <v>-50</v>
      </c>
      <c r="L79">
        <v>-20</v>
      </c>
    </row>
    <row r="80" spans="1:12">
      <c r="A80" s="2">
        <v>46036</v>
      </c>
      <c r="B80" t="s">
        <v>44</v>
      </c>
      <c r="C80">
        <v>64058</v>
      </c>
      <c r="D80">
        <v>1599</v>
      </c>
      <c r="E80" t="s">
        <v>165</v>
      </c>
      <c r="F80" t="s">
        <v>65</v>
      </c>
      <c r="G80" t="s">
        <v>57</v>
      </c>
      <c r="H80" t="s">
        <v>54</v>
      </c>
      <c r="I80" t="s">
        <v>166</v>
      </c>
      <c r="K80">
        <v>-50</v>
      </c>
      <c r="L80">
        <v>-35</v>
      </c>
    </row>
    <row r="81" spans="1:12">
      <c r="A81" s="2">
        <v>46036</v>
      </c>
      <c r="B81" t="s">
        <v>44</v>
      </c>
      <c r="C81">
        <v>64058</v>
      </c>
      <c r="D81">
        <v>1600</v>
      </c>
      <c r="E81" t="s">
        <v>167</v>
      </c>
      <c r="F81" t="s">
        <v>65</v>
      </c>
      <c r="G81" t="s">
        <v>57</v>
      </c>
      <c r="H81" t="s">
        <v>54</v>
      </c>
      <c r="I81" t="s">
        <v>168</v>
      </c>
      <c r="K81">
        <v>-20</v>
      </c>
      <c r="L81">
        <v>-15</v>
      </c>
    </row>
    <row r="82" spans="1:12">
      <c r="A82" s="2">
        <v>46037</v>
      </c>
      <c r="B82" t="s">
        <v>158</v>
      </c>
      <c r="C82">
        <v>64067</v>
      </c>
      <c r="D82">
        <v>1601</v>
      </c>
      <c r="F82" t="s">
        <v>46</v>
      </c>
      <c r="G82" t="s">
        <v>47</v>
      </c>
      <c r="H82" t="s">
        <v>54</v>
      </c>
      <c r="K82">
        <v>-90</v>
      </c>
      <c r="L82">
        <v>-100</v>
      </c>
    </row>
    <row r="83" spans="1:12">
      <c r="A83" s="2">
        <v>46037</v>
      </c>
      <c r="B83" t="s">
        <v>69</v>
      </c>
      <c r="C83">
        <v>64067</v>
      </c>
      <c r="D83">
        <v>1602</v>
      </c>
      <c r="E83" t="s">
        <v>93</v>
      </c>
      <c r="F83" t="s">
        <v>46</v>
      </c>
      <c r="G83" t="s">
        <v>47</v>
      </c>
      <c r="H83" t="s">
        <v>54</v>
      </c>
      <c r="I83" t="s">
        <v>169</v>
      </c>
      <c r="K83">
        <v>-55</v>
      </c>
      <c r="L83">
        <v>-55</v>
      </c>
    </row>
    <row r="84" spans="1:12">
      <c r="A84" s="2">
        <v>46037</v>
      </c>
      <c r="B84" t="s">
        <v>69</v>
      </c>
      <c r="C84">
        <v>64068</v>
      </c>
      <c r="D84">
        <v>1603</v>
      </c>
      <c r="E84" t="s">
        <v>170</v>
      </c>
      <c r="F84" t="s">
        <v>46</v>
      </c>
      <c r="G84" t="s">
        <v>47</v>
      </c>
      <c r="H84" t="s">
        <v>48</v>
      </c>
      <c r="I84" t="s">
        <v>171</v>
      </c>
      <c r="K84">
        <v>-20</v>
      </c>
      <c r="L84">
        <v>-10</v>
      </c>
    </row>
    <row r="85" spans="1:12">
      <c r="A85" s="2">
        <v>46037</v>
      </c>
      <c r="B85" t="s">
        <v>69</v>
      </c>
      <c r="C85">
        <v>64068</v>
      </c>
      <c r="D85">
        <v>1604</v>
      </c>
      <c r="E85" t="s">
        <v>172</v>
      </c>
      <c r="F85" t="s">
        <v>46</v>
      </c>
      <c r="G85" t="s">
        <v>47</v>
      </c>
      <c r="H85" t="s">
        <v>48</v>
      </c>
      <c r="I85" t="s">
        <v>173</v>
      </c>
      <c r="K85">
        <v>-20</v>
      </c>
      <c r="L85">
        <v>-110</v>
      </c>
    </row>
    <row r="86" spans="1:12">
      <c r="A86" s="2">
        <v>46038</v>
      </c>
      <c r="B86" t="s">
        <v>90</v>
      </c>
      <c r="C86">
        <v>64061</v>
      </c>
      <c r="D86">
        <v>1605</v>
      </c>
      <c r="E86" t="s">
        <v>174</v>
      </c>
      <c r="F86" t="s">
        <v>65</v>
      </c>
      <c r="G86" t="s">
        <v>57</v>
      </c>
      <c r="H86" t="s">
        <v>48</v>
      </c>
      <c r="I86" t="s">
        <v>175</v>
      </c>
      <c r="K86">
        <v>-60</v>
      </c>
      <c r="L86" s="4"/>
    </row>
    <row r="87" spans="1:12">
      <c r="A87" s="2">
        <v>46038</v>
      </c>
      <c r="B87" t="s">
        <v>44</v>
      </c>
      <c r="C87">
        <v>64061</v>
      </c>
      <c r="D87">
        <v>1606</v>
      </c>
      <c r="E87" t="s">
        <v>176</v>
      </c>
      <c r="F87" t="s">
        <v>65</v>
      </c>
      <c r="G87" t="s">
        <v>57</v>
      </c>
      <c r="H87" t="s">
        <v>48</v>
      </c>
      <c r="I87" t="s">
        <v>151</v>
      </c>
      <c r="K87">
        <v>-15</v>
      </c>
      <c r="L87">
        <v>0</v>
      </c>
    </row>
    <row r="88" spans="1:12">
      <c r="A88" s="2">
        <v>46038</v>
      </c>
      <c r="B88" t="s">
        <v>90</v>
      </c>
      <c r="C88">
        <v>64061</v>
      </c>
      <c r="D88">
        <v>1607</v>
      </c>
      <c r="E88" t="s">
        <v>177</v>
      </c>
      <c r="F88" t="s">
        <v>65</v>
      </c>
      <c r="G88" t="s">
        <v>57</v>
      </c>
      <c r="H88" t="s">
        <v>48</v>
      </c>
      <c r="K88" s="4"/>
      <c r="L88">
        <v>-70</v>
      </c>
    </row>
    <row r="89" spans="1:12">
      <c r="A89" s="2">
        <v>46038</v>
      </c>
      <c r="B89" t="s">
        <v>90</v>
      </c>
      <c r="C89">
        <v>64062</v>
      </c>
      <c r="D89">
        <v>1608</v>
      </c>
      <c r="E89" t="s">
        <v>178</v>
      </c>
      <c r="F89" t="s">
        <v>65</v>
      </c>
      <c r="G89" t="s">
        <v>57</v>
      </c>
      <c r="H89" t="s">
        <v>54</v>
      </c>
      <c r="K89">
        <v>-40</v>
      </c>
      <c r="L89" s="4"/>
    </row>
    <row r="90" spans="1:12">
      <c r="A90" s="2">
        <v>46038</v>
      </c>
      <c r="B90" t="s">
        <v>44</v>
      </c>
      <c r="C90">
        <v>64062</v>
      </c>
      <c r="D90">
        <v>1609</v>
      </c>
      <c r="E90" t="s">
        <v>142</v>
      </c>
      <c r="F90" t="s">
        <v>65</v>
      </c>
      <c r="G90" t="s">
        <v>57</v>
      </c>
      <c r="H90" t="s">
        <v>54</v>
      </c>
      <c r="K90">
        <v>25</v>
      </c>
      <c r="L90">
        <v>25</v>
      </c>
    </row>
    <row r="91" spans="1:12">
      <c r="A91" s="2">
        <v>46038</v>
      </c>
      <c r="B91" t="s">
        <v>90</v>
      </c>
      <c r="C91">
        <v>64062</v>
      </c>
      <c r="D91">
        <v>1610</v>
      </c>
      <c r="E91" t="s">
        <v>179</v>
      </c>
      <c r="F91" t="s">
        <v>65</v>
      </c>
      <c r="G91" s="19" t="s">
        <v>57</v>
      </c>
      <c r="H91" s="19" t="s">
        <v>54</v>
      </c>
      <c r="K91">
        <v>-150</v>
      </c>
      <c r="L91" s="4"/>
    </row>
    <row r="92" spans="1:12">
      <c r="A92" s="2">
        <v>46038</v>
      </c>
      <c r="B92" t="s">
        <v>158</v>
      </c>
      <c r="C92">
        <v>64061</v>
      </c>
      <c r="D92">
        <v>1611</v>
      </c>
      <c r="F92" t="s">
        <v>65</v>
      </c>
      <c r="G92" s="19" t="s">
        <v>57</v>
      </c>
      <c r="H92" s="19" t="s">
        <v>48</v>
      </c>
      <c r="K92">
        <v>-250</v>
      </c>
      <c r="L92">
        <v>-150</v>
      </c>
    </row>
    <row r="93" spans="1:12">
      <c r="A93" s="2">
        <v>46038</v>
      </c>
      <c r="B93" t="s">
        <v>90</v>
      </c>
      <c r="C93">
        <v>64062</v>
      </c>
      <c r="D93">
        <v>1612</v>
      </c>
      <c r="E93" t="s">
        <v>181</v>
      </c>
      <c r="F93" t="s">
        <v>65</v>
      </c>
      <c r="G93" s="19" t="s">
        <v>57</v>
      </c>
      <c r="H93" s="19" t="s">
        <v>54</v>
      </c>
      <c r="K93">
        <v>-15</v>
      </c>
      <c r="L93">
        <v>-2000</v>
      </c>
    </row>
    <row r="94" spans="1:12">
      <c r="A94" s="2">
        <v>46038</v>
      </c>
      <c r="B94" t="s">
        <v>44</v>
      </c>
      <c r="C94">
        <v>64062</v>
      </c>
      <c r="D94">
        <v>1613</v>
      </c>
      <c r="F94" t="s">
        <v>65</v>
      </c>
      <c r="G94" s="19" t="s">
        <v>57</v>
      </c>
      <c r="H94" s="19" t="s">
        <v>54</v>
      </c>
      <c r="I94" t="s">
        <v>182</v>
      </c>
      <c r="K94">
        <v>0</v>
      </c>
      <c r="L94" s="4"/>
    </row>
    <row r="95" spans="1:12">
      <c r="A95" s="2">
        <v>46042</v>
      </c>
      <c r="B95" t="s">
        <v>69</v>
      </c>
      <c r="C95">
        <v>64069</v>
      </c>
      <c r="D95">
        <v>1614</v>
      </c>
      <c r="E95" t="s">
        <v>140</v>
      </c>
      <c r="F95" t="s">
        <v>46</v>
      </c>
      <c r="G95" s="19" t="s">
        <v>57</v>
      </c>
      <c r="H95" s="19" t="s">
        <v>54</v>
      </c>
      <c r="I95" t="s">
        <v>183</v>
      </c>
      <c r="K95">
        <v>-20</v>
      </c>
      <c r="L95">
        <v>0</v>
      </c>
    </row>
    <row r="96" spans="1:12">
      <c r="A96" s="2">
        <v>46042</v>
      </c>
      <c r="B96" t="s">
        <v>90</v>
      </c>
      <c r="C96">
        <v>64069</v>
      </c>
      <c r="D96">
        <v>1615</v>
      </c>
      <c r="E96" t="s">
        <v>140</v>
      </c>
      <c r="F96" t="s">
        <v>46</v>
      </c>
      <c r="G96" t="s">
        <v>57</v>
      </c>
      <c r="H96" t="s">
        <v>54</v>
      </c>
      <c r="K96">
        <v>-20</v>
      </c>
      <c r="L96">
        <v>-20</v>
      </c>
    </row>
    <row r="97" spans="1:12">
      <c r="A97" s="2">
        <v>46042</v>
      </c>
      <c r="B97" t="s">
        <v>90</v>
      </c>
      <c r="C97">
        <v>64069</v>
      </c>
      <c r="D97">
        <v>1616</v>
      </c>
      <c r="E97" t="s">
        <v>142</v>
      </c>
      <c r="F97" t="s">
        <v>46</v>
      </c>
      <c r="G97" t="s">
        <v>57</v>
      </c>
      <c r="H97" t="s">
        <v>54</v>
      </c>
      <c r="K97">
        <v>-15</v>
      </c>
      <c r="L97">
        <v>-20</v>
      </c>
    </row>
    <row r="98" spans="1:12">
      <c r="A98" s="2">
        <v>46042</v>
      </c>
      <c r="B98" t="s">
        <v>90</v>
      </c>
      <c r="C98">
        <v>64069</v>
      </c>
      <c r="D98">
        <v>1617</v>
      </c>
      <c r="E98" t="s">
        <v>148</v>
      </c>
      <c r="F98" t="s">
        <v>46</v>
      </c>
      <c r="G98" s="19" t="s">
        <v>57</v>
      </c>
      <c r="H98" s="19" t="s">
        <v>54</v>
      </c>
      <c r="K98">
        <v>-35</v>
      </c>
      <c r="L98" s="4"/>
    </row>
    <row r="99" spans="1:12">
      <c r="A99" s="2">
        <v>46042</v>
      </c>
      <c r="B99" t="s">
        <v>90</v>
      </c>
      <c r="C99">
        <v>64070</v>
      </c>
      <c r="D99">
        <v>1618</v>
      </c>
      <c r="E99" t="s">
        <v>184</v>
      </c>
      <c r="F99" t="s">
        <v>46</v>
      </c>
      <c r="G99" s="19" t="s">
        <v>57</v>
      </c>
      <c r="H99" s="19" t="s">
        <v>54</v>
      </c>
      <c r="I99" t="s">
        <v>185</v>
      </c>
      <c r="K99">
        <v>-30</v>
      </c>
      <c r="L99" s="4"/>
    </row>
    <row r="100" spans="1:12">
      <c r="A100" s="2">
        <v>46042</v>
      </c>
      <c r="B100" t="s">
        <v>90</v>
      </c>
      <c r="C100">
        <v>64070</v>
      </c>
      <c r="D100">
        <v>1619</v>
      </c>
      <c r="E100" t="s">
        <v>186</v>
      </c>
      <c r="F100" t="s">
        <v>46</v>
      </c>
      <c r="G100" t="s">
        <v>57</v>
      </c>
      <c r="H100" t="s">
        <v>48</v>
      </c>
      <c r="I100" t="s">
        <v>187</v>
      </c>
      <c r="K100">
        <v>0</v>
      </c>
      <c r="L100">
        <v>0</v>
      </c>
    </row>
    <row r="101" spans="1:12">
      <c r="A101" s="2">
        <v>46043</v>
      </c>
      <c r="B101" t="s">
        <v>90</v>
      </c>
      <c r="C101">
        <v>64290</v>
      </c>
      <c r="D101">
        <v>1620</v>
      </c>
      <c r="E101" t="s">
        <v>188</v>
      </c>
      <c r="F101" t="s">
        <v>46</v>
      </c>
      <c r="G101" t="s">
        <v>47</v>
      </c>
      <c r="H101" t="s">
        <v>48</v>
      </c>
      <c r="K101">
        <v>-15</v>
      </c>
      <c r="L101">
        <v>-12</v>
      </c>
    </row>
    <row r="102" spans="1:12">
      <c r="A102" s="2">
        <v>46043</v>
      </c>
      <c r="B102" t="s">
        <v>44</v>
      </c>
      <c r="C102">
        <v>64290</v>
      </c>
      <c r="D102">
        <v>1621</v>
      </c>
      <c r="E102" t="s">
        <v>189</v>
      </c>
      <c r="F102" t="s">
        <v>46</v>
      </c>
      <c r="G102" t="s">
        <v>47</v>
      </c>
      <c r="H102" t="s">
        <v>48</v>
      </c>
      <c r="I102" t="s">
        <v>190</v>
      </c>
      <c r="K102">
        <v>-25</v>
      </c>
      <c r="L102">
        <v>-50</v>
      </c>
    </row>
    <row r="103" spans="1:12">
      <c r="A103" s="2">
        <v>46043</v>
      </c>
      <c r="B103" t="s">
        <v>90</v>
      </c>
      <c r="C103">
        <v>64290</v>
      </c>
      <c r="D103">
        <v>1622</v>
      </c>
      <c r="E103" t="s">
        <v>191</v>
      </c>
      <c r="F103" t="s">
        <v>46</v>
      </c>
      <c r="G103" s="19" t="s">
        <v>47</v>
      </c>
      <c r="H103" s="19" t="s">
        <v>48</v>
      </c>
      <c r="K103">
        <v>-10</v>
      </c>
      <c r="L103">
        <v>-35</v>
      </c>
    </row>
    <row r="104" spans="1:12">
      <c r="A104" s="2">
        <v>46043</v>
      </c>
      <c r="B104" t="s">
        <v>44</v>
      </c>
      <c r="C104">
        <v>64290</v>
      </c>
      <c r="D104">
        <v>1623</v>
      </c>
      <c r="E104" t="s">
        <v>107</v>
      </c>
      <c r="F104" t="s">
        <v>46</v>
      </c>
      <c r="G104" t="s">
        <v>47</v>
      </c>
      <c r="H104" t="s">
        <v>48</v>
      </c>
      <c r="I104" t="s">
        <v>192</v>
      </c>
      <c r="K104">
        <v>-100</v>
      </c>
      <c r="L104">
        <v>-135</v>
      </c>
    </row>
    <row r="105" spans="1:12">
      <c r="A105" s="2">
        <v>46043</v>
      </c>
      <c r="B105" t="s">
        <v>44</v>
      </c>
      <c r="C105">
        <v>64290</v>
      </c>
      <c r="D105">
        <v>1624</v>
      </c>
      <c r="E105" t="s">
        <v>116</v>
      </c>
      <c r="F105" t="s">
        <v>46</v>
      </c>
      <c r="G105" t="s">
        <v>47</v>
      </c>
      <c r="H105" t="s">
        <v>48</v>
      </c>
      <c r="I105" t="s">
        <v>193</v>
      </c>
      <c r="K105">
        <v>-50</v>
      </c>
      <c r="L105">
        <v>-75</v>
      </c>
    </row>
    <row r="106" spans="1:12">
      <c r="A106" s="2">
        <v>46043</v>
      </c>
      <c r="B106" t="s">
        <v>90</v>
      </c>
      <c r="C106">
        <v>64291</v>
      </c>
      <c r="D106">
        <v>1625</v>
      </c>
      <c r="E106" t="s">
        <v>194</v>
      </c>
      <c r="F106" t="s">
        <v>46</v>
      </c>
      <c r="G106" s="19" t="s">
        <v>47</v>
      </c>
      <c r="H106" s="19" t="s">
        <v>54</v>
      </c>
      <c r="K106">
        <v>-100</v>
      </c>
      <c r="L106">
        <v>-250</v>
      </c>
    </row>
    <row r="107" spans="1:12">
      <c r="A107" s="2">
        <v>46043</v>
      </c>
      <c r="B107" t="s">
        <v>44</v>
      </c>
      <c r="C107">
        <v>64291</v>
      </c>
      <c r="D107">
        <v>1626</v>
      </c>
      <c r="E107" t="s">
        <v>117</v>
      </c>
      <c r="F107" t="s">
        <v>46</v>
      </c>
      <c r="G107" t="s">
        <v>47</v>
      </c>
      <c r="H107" t="s">
        <v>54</v>
      </c>
      <c r="I107" t="s">
        <v>195</v>
      </c>
      <c r="K107">
        <v>-50</v>
      </c>
      <c r="L107">
        <v>-125</v>
      </c>
    </row>
    <row r="108" spans="1:12">
      <c r="A108" s="2">
        <v>46043</v>
      </c>
      <c r="B108" t="s">
        <v>90</v>
      </c>
      <c r="C108">
        <v>64291</v>
      </c>
      <c r="D108">
        <v>1627</v>
      </c>
      <c r="E108" t="s">
        <v>196</v>
      </c>
      <c r="F108" t="s">
        <v>46</v>
      </c>
      <c r="G108" t="s">
        <v>47</v>
      </c>
      <c r="H108" t="s">
        <v>54</v>
      </c>
      <c r="K108">
        <v>-10</v>
      </c>
      <c r="L108" s="4"/>
    </row>
    <row r="109" spans="1:12">
      <c r="A109" s="2">
        <v>46044</v>
      </c>
      <c r="B109" t="s">
        <v>44</v>
      </c>
      <c r="C109">
        <v>64282</v>
      </c>
      <c r="D109">
        <v>1628</v>
      </c>
      <c r="E109" t="s">
        <v>197</v>
      </c>
      <c r="F109" t="s">
        <v>65</v>
      </c>
      <c r="G109" t="s">
        <v>57</v>
      </c>
      <c r="H109" t="s">
        <v>54</v>
      </c>
      <c r="I109" t="s">
        <v>198</v>
      </c>
      <c r="K109">
        <v>-50</v>
      </c>
      <c r="L109">
        <v>-100</v>
      </c>
    </row>
    <row r="110" spans="1:12">
      <c r="A110" s="2">
        <v>46044</v>
      </c>
      <c r="B110" t="s">
        <v>90</v>
      </c>
      <c r="C110">
        <v>64282</v>
      </c>
      <c r="D110">
        <v>1629</v>
      </c>
      <c r="E110" t="s">
        <v>199</v>
      </c>
      <c r="F110" t="s">
        <v>65</v>
      </c>
      <c r="G110" s="19" t="s">
        <v>57</v>
      </c>
      <c r="H110" s="19" t="s">
        <v>54</v>
      </c>
      <c r="K110">
        <v>-40</v>
      </c>
      <c r="L110">
        <v>-65</v>
      </c>
    </row>
    <row r="111" spans="1:12">
      <c r="A111" s="2">
        <v>46044</v>
      </c>
      <c r="B111" t="s">
        <v>90</v>
      </c>
      <c r="C111">
        <v>64283</v>
      </c>
      <c r="D111">
        <v>1630</v>
      </c>
      <c r="E111" t="s">
        <v>201</v>
      </c>
      <c r="F111" t="s">
        <v>65</v>
      </c>
      <c r="G111" t="s">
        <v>57</v>
      </c>
      <c r="H111" t="s">
        <v>48</v>
      </c>
      <c r="I111" t="s">
        <v>202</v>
      </c>
      <c r="K111">
        <v>-30</v>
      </c>
      <c r="L111">
        <v>-1000</v>
      </c>
    </row>
    <row r="112" spans="1:12">
      <c r="A112" s="2">
        <v>46044</v>
      </c>
      <c r="B112" t="s">
        <v>90</v>
      </c>
      <c r="C112">
        <v>64283</v>
      </c>
      <c r="D112">
        <v>1631</v>
      </c>
      <c r="E112" t="s">
        <v>203</v>
      </c>
      <c r="F112" t="s">
        <v>65</v>
      </c>
      <c r="G112" t="s">
        <v>57</v>
      </c>
      <c r="H112" t="s">
        <v>48</v>
      </c>
      <c r="I112" t="s">
        <v>204</v>
      </c>
      <c r="K112">
        <v>-45</v>
      </c>
      <c r="L112">
        <v>-67</v>
      </c>
    </row>
    <row r="113" spans="1:12">
      <c r="A113" s="2">
        <v>46044</v>
      </c>
      <c r="B113" t="s">
        <v>90</v>
      </c>
      <c r="C113">
        <v>64283</v>
      </c>
      <c r="D113">
        <v>1632</v>
      </c>
      <c r="E113" t="s">
        <v>205</v>
      </c>
      <c r="F113" t="s">
        <v>65</v>
      </c>
      <c r="G113" t="s">
        <v>57</v>
      </c>
      <c r="H113" t="s">
        <v>48</v>
      </c>
      <c r="I113" t="s">
        <v>206</v>
      </c>
      <c r="K113">
        <v>-10</v>
      </c>
      <c r="L113">
        <v>-10</v>
      </c>
    </row>
    <row r="114" spans="1:12">
      <c r="A114" s="2">
        <v>46045</v>
      </c>
      <c r="B114" t="s">
        <v>69</v>
      </c>
      <c r="C114">
        <v>64292</v>
      </c>
      <c r="D114">
        <v>1633</v>
      </c>
      <c r="E114" t="s">
        <v>207</v>
      </c>
      <c r="F114" t="s">
        <v>46</v>
      </c>
      <c r="G114" s="19" t="s">
        <v>57</v>
      </c>
      <c r="H114" s="19" t="s">
        <v>54</v>
      </c>
      <c r="I114" t="s">
        <v>208</v>
      </c>
      <c r="K114">
        <v>-55</v>
      </c>
      <c r="L114">
        <v>-60</v>
      </c>
    </row>
    <row r="115" spans="1:12">
      <c r="A115" s="2">
        <v>46045</v>
      </c>
      <c r="B115" t="s">
        <v>90</v>
      </c>
      <c r="C115">
        <v>64293</v>
      </c>
      <c r="D115">
        <v>1634</v>
      </c>
      <c r="E115" t="s">
        <v>210</v>
      </c>
      <c r="F115" t="s">
        <v>46</v>
      </c>
      <c r="G115" t="s">
        <v>57</v>
      </c>
      <c r="H115" t="s">
        <v>48</v>
      </c>
      <c r="K115">
        <v>-8</v>
      </c>
      <c r="L115">
        <v>0</v>
      </c>
    </row>
    <row r="116" spans="1:12">
      <c r="A116" s="2">
        <v>46045</v>
      </c>
      <c r="B116" t="s">
        <v>90</v>
      </c>
      <c r="C116">
        <v>64293</v>
      </c>
      <c r="D116">
        <v>1635</v>
      </c>
      <c r="E116" t="s">
        <v>211</v>
      </c>
      <c r="F116" t="s">
        <v>46</v>
      </c>
      <c r="G116" t="s">
        <v>57</v>
      </c>
      <c r="H116" t="s">
        <v>48</v>
      </c>
      <c r="I116" t="s">
        <v>212</v>
      </c>
      <c r="K116">
        <v>-30</v>
      </c>
      <c r="L116">
        <v>-40</v>
      </c>
    </row>
    <row r="117" spans="1:12">
      <c r="A117" s="2">
        <v>46049</v>
      </c>
      <c r="B117" t="s">
        <v>90</v>
      </c>
      <c r="C117">
        <v>64284</v>
      </c>
      <c r="D117">
        <v>1636</v>
      </c>
      <c r="E117" t="s">
        <v>140</v>
      </c>
      <c r="F117" t="s">
        <v>65</v>
      </c>
      <c r="G117" t="s">
        <v>57</v>
      </c>
      <c r="H117" t="s">
        <v>54</v>
      </c>
      <c r="K117">
        <v>-15</v>
      </c>
      <c r="L117">
        <v>-35</v>
      </c>
    </row>
    <row r="118" spans="1:12">
      <c r="A118" s="2">
        <v>46049</v>
      </c>
      <c r="B118" t="s">
        <v>90</v>
      </c>
      <c r="C118">
        <v>64284</v>
      </c>
      <c r="D118">
        <v>1637</v>
      </c>
      <c r="E118" t="s">
        <v>142</v>
      </c>
      <c r="F118" t="s">
        <v>65</v>
      </c>
      <c r="G118" t="s">
        <v>57</v>
      </c>
      <c r="H118" t="s">
        <v>54</v>
      </c>
      <c r="I118" t="s">
        <v>213</v>
      </c>
      <c r="K118">
        <v>-20</v>
      </c>
      <c r="L118">
        <v>-30</v>
      </c>
    </row>
    <row r="119" spans="1:12">
      <c r="A119" s="2">
        <v>46049</v>
      </c>
      <c r="B119" t="s">
        <v>90</v>
      </c>
      <c r="C119">
        <v>64284</v>
      </c>
      <c r="D119">
        <v>1638</v>
      </c>
      <c r="E119" t="s">
        <v>214</v>
      </c>
      <c r="F119" t="s">
        <v>65</v>
      </c>
      <c r="G119" t="s">
        <v>57</v>
      </c>
      <c r="H119" t="s">
        <v>54</v>
      </c>
      <c r="I119" t="s">
        <v>215</v>
      </c>
      <c r="K119">
        <v>-75</v>
      </c>
      <c r="L119">
        <v>-150</v>
      </c>
    </row>
    <row r="120" spans="1:12">
      <c r="A120" s="2">
        <v>46049</v>
      </c>
      <c r="B120" t="s">
        <v>44</v>
      </c>
      <c r="C120">
        <v>64284</v>
      </c>
      <c r="D120">
        <v>1639</v>
      </c>
      <c r="E120" t="s">
        <v>216</v>
      </c>
      <c r="F120" t="s">
        <v>65</v>
      </c>
      <c r="G120" t="s">
        <v>57</v>
      </c>
      <c r="H120" t="s">
        <v>54</v>
      </c>
      <c r="I120" t="s">
        <v>217</v>
      </c>
      <c r="K120">
        <v>-30</v>
      </c>
      <c r="L120">
        <v>-75</v>
      </c>
    </row>
    <row r="121" spans="1:12">
      <c r="A121" s="2">
        <v>46049</v>
      </c>
      <c r="B121" t="s">
        <v>90</v>
      </c>
      <c r="C121">
        <v>64285</v>
      </c>
      <c r="D121">
        <v>1640</v>
      </c>
      <c r="E121" t="s">
        <v>218</v>
      </c>
      <c r="F121" t="s">
        <v>65</v>
      </c>
      <c r="G121" t="s">
        <v>57</v>
      </c>
      <c r="H121" t="s">
        <v>48</v>
      </c>
      <c r="I121" t="s">
        <v>219</v>
      </c>
      <c r="K121">
        <v>-100</v>
      </c>
      <c r="L121">
        <v>-130</v>
      </c>
    </row>
    <row r="122" spans="1:12">
      <c r="A122" s="2">
        <v>46049</v>
      </c>
      <c r="B122" t="s">
        <v>44</v>
      </c>
      <c r="C122">
        <v>64284</v>
      </c>
      <c r="D122">
        <v>1641</v>
      </c>
      <c r="E122" t="s">
        <v>95</v>
      </c>
      <c r="F122" t="s">
        <v>65</v>
      </c>
      <c r="G122" t="s">
        <v>57</v>
      </c>
      <c r="H122" t="s">
        <v>54</v>
      </c>
      <c r="K122">
        <v>-25</v>
      </c>
      <c r="L122">
        <v>-25</v>
      </c>
    </row>
    <row r="123" spans="1:12">
      <c r="A123" s="2">
        <v>46049</v>
      </c>
      <c r="B123" t="s">
        <v>90</v>
      </c>
      <c r="C123">
        <v>64285</v>
      </c>
      <c r="D123">
        <v>1642</v>
      </c>
      <c r="E123" t="s">
        <v>220</v>
      </c>
      <c r="F123" t="s">
        <v>65</v>
      </c>
      <c r="G123" s="19" t="s">
        <v>57</v>
      </c>
      <c r="H123" s="19" t="s">
        <v>48</v>
      </c>
      <c r="K123">
        <v>-100</v>
      </c>
      <c r="L123">
        <v>-150</v>
      </c>
    </row>
    <row r="124" spans="1:12">
      <c r="A124" s="2">
        <v>46049</v>
      </c>
      <c r="B124" t="s">
        <v>44</v>
      </c>
      <c r="C124">
        <v>64285</v>
      </c>
      <c r="D124">
        <v>1643</v>
      </c>
      <c r="E124" t="s">
        <v>144</v>
      </c>
      <c r="F124" t="s">
        <v>65</v>
      </c>
      <c r="G124" s="19" t="s">
        <v>57</v>
      </c>
      <c r="H124" s="19" t="s">
        <v>48</v>
      </c>
      <c r="K124">
        <v>-125</v>
      </c>
      <c r="L124">
        <v>-160</v>
      </c>
    </row>
    <row r="125" spans="1:12">
      <c r="A125" s="2">
        <v>46049</v>
      </c>
      <c r="B125" t="s">
        <v>44</v>
      </c>
      <c r="C125">
        <v>64285</v>
      </c>
      <c r="D125">
        <v>1644</v>
      </c>
      <c r="E125" t="s">
        <v>221</v>
      </c>
      <c r="F125" t="s">
        <v>65</v>
      </c>
      <c r="G125" s="19" t="s">
        <v>57</v>
      </c>
      <c r="H125" s="19" t="s">
        <v>48</v>
      </c>
      <c r="I125" t="s">
        <v>222</v>
      </c>
      <c r="K125">
        <v>-100</v>
      </c>
      <c r="L125">
        <v>-200</v>
      </c>
    </row>
    <row r="126" spans="1:12">
      <c r="A126" s="2">
        <v>46050</v>
      </c>
      <c r="B126" t="s">
        <v>44</v>
      </c>
      <c r="C126">
        <v>64286</v>
      </c>
      <c r="D126">
        <v>1645</v>
      </c>
      <c r="E126" t="s">
        <v>223</v>
      </c>
      <c r="F126" t="s">
        <v>65</v>
      </c>
      <c r="G126" t="s">
        <v>47</v>
      </c>
      <c r="H126" t="s">
        <v>48</v>
      </c>
      <c r="I126" t="s">
        <v>224</v>
      </c>
      <c r="K126">
        <v>-15</v>
      </c>
      <c r="L126">
        <v>-15</v>
      </c>
    </row>
    <row r="127" spans="1:12">
      <c r="A127" s="2">
        <v>46050</v>
      </c>
      <c r="B127" t="s">
        <v>90</v>
      </c>
      <c r="C127">
        <v>64286</v>
      </c>
      <c r="D127">
        <v>1646</v>
      </c>
      <c r="E127" t="s">
        <v>140</v>
      </c>
      <c r="F127" t="s">
        <v>65</v>
      </c>
      <c r="G127" s="19" t="s">
        <v>47</v>
      </c>
      <c r="H127" s="19" t="s">
        <v>48</v>
      </c>
      <c r="K127">
        <v>-90</v>
      </c>
      <c r="L127">
        <v>-30</v>
      </c>
    </row>
    <row r="128" spans="1:12">
      <c r="A128" s="2">
        <v>46050</v>
      </c>
      <c r="B128" t="s">
        <v>44</v>
      </c>
      <c r="C128">
        <v>64286</v>
      </c>
      <c r="D128">
        <v>1647</v>
      </c>
      <c r="E128" t="s">
        <v>107</v>
      </c>
      <c r="F128" t="s">
        <v>65</v>
      </c>
      <c r="G128" t="s">
        <v>47</v>
      </c>
      <c r="H128" t="s">
        <v>48</v>
      </c>
      <c r="I128" t="s">
        <v>225</v>
      </c>
      <c r="K128">
        <v>-100</v>
      </c>
      <c r="L128">
        <v>-75</v>
      </c>
    </row>
    <row r="129" spans="1:12">
      <c r="A129" s="2">
        <v>46050</v>
      </c>
      <c r="B129" t="s">
        <v>44</v>
      </c>
      <c r="C129">
        <v>64286</v>
      </c>
      <c r="D129">
        <v>1648</v>
      </c>
      <c r="E129" t="s">
        <v>116</v>
      </c>
      <c r="F129" t="s">
        <v>65</v>
      </c>
      <c r="G129" t="s">
        <v>47</v>
      </c>
      <c r="H129" t="s">
        <v>48</v>
      </c>
      <c r="I129" t="s">
        <v>226</v>
      </c>
      <c r="K129">
        <v>0</v>
      </c>
      <c r="L129">
        <v>-10</v>
      </c>
    </row>
    <row r="130" spans="1:12">
      <c r="A130" s="2">
        <v>46050</v>
      </c>
      <c r="B130" t="s">
        <v>90</v>
      </c>
      <c r="C130">
        <v>64286</v>
      </c>
      <c r="D130">
        <v>1649</v>
      </c>
      <c r="E130" t="s">
        <v>124</v>
      </c>
      <c r="F130" t="s">
        <v>65</v>
      </c>
      <c r="G130" t="s">
        <v>47</v>
      </c>
      <c r="H130" t="s">
        <v>48</v>
      </c>
      <c r="I130" t="s">
        <v>227</v>
      </c>
      <c r="K130">
        <v>10</v>
      </c>
      <c r="L130">
        <v>5</v>
      </c>
    </row>
    <row r="131" spans="1:12">
      <c r="A131" s="2">
        <v>46050</v>
      </c>
      <c r="B131" t="s">
        <v>90</v>
      </c>
      <c r="C131">
        <v>64287</v>
      </c>
      <c r="D131">
        <v>1650</v>
      </c>
      <c r="E131" t="s">
        <v>126</v>
      </c>
      <c r="F131" t="s">
        <v>65</v>
      </c>
      <c r="G131" t="s">
        <v>47</v>
      </c>
      <c r="H131" t="s">
        <v>54</v>
      </c>
      <c r="K131">
        <v>-10</v>
      </c>
      <c r="L131">
        <v>-15</v>
      </c>
    </row>
    <row r="132" spans="1:12">
      <c r="A132" s="2">
        <v>46050</v>
      </c>
      <c r="B132" t="s">
        <v>90</v>
      </c>
      <c r="C132">
        <v>64287</v>
      </c>
      <c r="D132">
        <v>1651</v>
      </c>
      <c r="E132" t="s">
        <v>145</v>
      </c>
      <c r="F132" t="s">
        <v>65</v>
      </c>
      <c r="G132" t="s">
        <v>47</v>
      </c>
      <c r="H132" t="s">
        <v>54</v>
      </c>
      <c r="I132" t="s">
        <v>228</v>
      </c>
      <c r="K132">
        <v>-60</v>
      </c>
      <c r="L132">
        <v>-60</v>
      </c>
    </row>
    <row r="133" spans="1:12">
      <c r="A133" s="2">
        <v>46051</v>
      </c>
      <c r="B133" t="s">
        <v>90</v>
      </c>
      <c r="C133">
        <v>64278</v>
      </c>
      <c r="D133">
        <v>1652</v>
      </c>
      <c r="E133" t="s">
        <v>140</v>
      </c>
      <c r="F133" t="s">
        <v>46</v>
      </c>
      <c r="G133" t="s">
        <v>57</v>
      </c>
      <c r="H133" t="s">
        <v>54</v>
      </c>
      <c r="K133">
        <v>-20</v>
      </c>
      <c r="L133">
        <v>0</v>
      </c>
    </row>
    <row r="134" spans="1:12">
      <c r="A134" s="2">
        <v>46051</v>
      </c>
      <c r="B134" t="s">
        <v>90</v>
      </c>
      <c r="C134">
        <v>64278</v>
      </c>
      <c r="D134">
        <v>1653</v>
      </c>
      <c r="E134" t="s">
        <v>142</v>
      </c>
      <c r="F134" t="s">
        <v>46</v>
      </c>
      <c r="G134" t="s">
        <v>57</v>
      </c>
      <c r="H134" t="s">
        <v>54</v>
      </c>
      <c r="I134" t="s">
        <v>229</v>
      </c>
      <c r="K134">
        <v>0</v>
      </c>
      <c r="L134">
        <v>-5</v>
      </c>
    </row>
    <row r="135" spans="1:12">
      <c r="A135" s="2">
        <v>46051</v>
      </c>
      <c r="B135" t="s">
        <v>90</v>
      </c>
      <c r="C135">
        <v>64278</v>
      </c>
      <c r="D135">
        <v>1654</v>
      </c>
      <c r="E135" t="s">
        <v>184</v>
      </c>
      <c r="F135" t="s">
        <v>46</v>
      </c>
      <c r="G135" s="19" t="s">
        <v>57</v>
      </c>
      <c r="H135" s="19" t="s">
        <v>54</v>
      </c>
      <c r="K135">
        <v>-35</v>
      </c>
      <c r="L135">
        <v>25</v>
      </c>
    </row>
    <row r="136" spans="1:12">
      <c r="A136" s="2">
        <v>46051</v>
      </c>
      <c r="B136" t="s">
        <v>158</v>
      </c>
      <c r="C136">
        <v>64278</v>
      </c>
      <c r="D136">
        <v>1655</v>
      </c>
      <c r="E136" t="s">
        <v>230</v>
      </c>
      <c r="F136" t="s">
        <v>46</v>
      </c>
      <c r="G136" t="s">
        <v>57</v>
      </c>
      <c r="H136" t="s">
        <v>54</v>
      </c>
      <c r="K136">
        <v>-10</v>
      </c>
      <c r="L136">
        <v>-5</v>
      </c>
    </row>
    <row r="137" spans="1:12">
      <c r="A137" s="2">
        <v>46051</v>
      </c>
      <c r="B137" t="s">
        <v>90</v>
      </c>
      <c r="C137">
        <v>64279</v>
      </c>
      <c r="D137">
        <v>1656</v>
      </c>
      <c r="E137" t="s">
        <v>231</v>
      </c>
      <c r="F137" t="s">
        <v>46</v>
      </c>
      <c r="G137" t="s">
        <v>57</v>
      </c>
      <c r="H137" t="s">
        <v>48</v>
      </c>
      <c r="I137" t="s">
        <v>232</v>
      </c>
      <c r="K137">
        <v>-70</v>
      </c>
      <c r="L137">
        <v>-40</v>
      </c>
    </row>
    <row r="138" spans="1:12">
      <c r="A138" s="2">
        <v>46051</v>
      </c>
      <c r="B138" t="s">
        <v>90</v>
      </c>
      <c r="C138">
        <v>64279</v>
      </c>
      <c r="D138">
        <v>1657</v>
      </c>
      <c r="E138" t="s">
        <v>233</v>
      </c>
      <c r="F138" t="s">
        <v>46</v>
      </c>
      <c r="G138" t="s">
        <v>57</v>
      </c>
      <c r="H138" t="s">
        <v>48</v>
      </c>
      <c r="I138" t="s">
        <v>234</v>
      </c>
      <c r="K138">
        <v>-90</v>
      </c>
      <c r="L138">
        <v>-125</v>
      </c>
    </row>
    <row r="139" spans="1:12">
      <c r="A139" s="2">
        <v>46051</v>
      </c>
      <c r="B139" t="s">
        <v>158</v>
      </c>
      <c r="C139">
        <v>64279</v>
      </c>
      <c r="D139">
        <v>1658</v>
      </c>
      <c r="E139" t="s">
        <v>145</v>
      </c>
      <c r="F139" t="s">
        <v>46</v>
      </c>
      <c r="G139" s="19" t="s">
        <v>57</v>
      </c>
      <c r="H139" s="19" t="s">
        <v>48</v>
      </c>
      <c r="I139" t="s">
        <v>235</v>
      </c>
      <c r="K139">
        <v>-60</v>
      </c>
      <c r="L139" s="4"/>
    </row>
    <row r="140" spans="1:12">
      <c r="A140" s="2">
        <v>46051</v>
      </c>
      <c r="B140" t="s">
        <v>90</v>
      </c>
      <c r="C140">
        <v>64279</v>
      </c>
      <c r="D140">
        <v>1659</v>
      </c>
      <c r="E140" t="s">
        <v>236</v>
      </c>
      <c r="F140" t="s">
        <v>46</v>
      </c>
      <c r="G140" t="s">
        <v>57</v>
      </c>
      <c r="H140" t="s">
        <v>48</v>
      </c>
      <c r="K140">
        <v>0</v>
      </c>
      <c r="L140">
        <v>25</v>
      </c>
    </row>
    <row r="141" spans="1:12">
      <c r="A141" s="2">
        <v>46052</v>
      </c>
      <c r="B141" t="s">
        <v>90</v>
      </c>
      <c r="C141">
        <v>64288</v>
      </c>
      <c r="D141">
        <v>1660</v>
      </c>
      <c r="E141" t="s">
        <v>91</v>
      </c>
      <c r="F141" t="s">
        <v>65</v>
      </c>
      <c r="G141" s="19" t="s">
        <v>47</v>
      </c>
      <c r="H141" s="19" t="s">
        <v>48</v>
      </c>
      <c r="K141">
        <v>-225</v>
      </c>
      <c r="L141">
        <v>-210</v>
      </c>
    </row>
    <row r="142" spans="1:12">
      <c r="A142" s="2">
        <v>46052</v>
      </c>
      <c r="B142" t="s">
        <v>90</v>
      </c>
      <c r="C142">
        <v>64288</v>
      </c>
      <c r="D142">
        <v>1661</v>
      </c>
      <c r="E142" t="s">
        <v>237</v>
      </c>
      <c r="F142" t="s">
        <v>65</v>
      </c>
      <c r="G142" s="19" t="s">
        <v>47</v>
      </c>
      <c r="H142" s="19" t="s">
        <v>48</v>
      </c>
      <c r="K142">
        <v>-170</v>
      </c>
      <c r="L142">
        <v>-180</v>
      </c>
    </row>
    <row r="143" spans="1:12">
      <c r="A143" s="2">
        <v>46052</v>
      </c>
      <c r="B143" t="s">
        <v>90</v>
      </c>
      <c r="C143">
        <v>64288</v>
      </c>
      <c r="D143">
        <v>1662</v>
      </c>
      <c r="E143" t="s">
        <v>238</v>
      </c>
      <c r="F143" t="s">
        <v>65</v>
      </c>
      <c r="G143" t="s">
        <v>47</v>
      </c>
      <c r="H143" t="s">
        <v>48</v>
      </c>
      <c r="I143" t="s">
        <v>239</v>
      </c>
      <c r="K143">
        <v>0</v>
      </c>
      <c r="L143">
        <v>0</v>
      </c>
    </row>
    <row r="144" spans="1:12">
      <c r="A144" s="2">
        <v>46052</v>
      </c>
      <c r="B144" t="s">
        <v>90</v>
      </c>
      <c r="C144">
        <v>64289</v>
      </c>
      <c r="D144">
        <v>1663</v>
      </c>
      <c r="E144" t="s">
        <v>240</v>
      </c>
      <c r="F144" t="s">
        <v>65</v>
      </c>
      <c r="G144" s="19" t="s">
        <v>47</v>
      </c>
      <c r="H144" s="19" t="s">
        <v>54</v>
      </c>
      <c r="I144" t="s">
        <v>241</v>
      </c>
      <c r="K144">
        <v>-150</v>
      </c>
      <c r="L144">
        <v>-110</v>
      </c>
    </row>
    <row r="145" spans="1:12">
      <c r="A145" s="2">
        <v>46052</v>
      </c>
      <c r="B145" t="s">
        <v>90</v>
      </c>
      <c r="C145">
        <v>64289</v>
      </c>
      <c r="D145">
        <v>1664</v>
      </c>
      <c r="E145" t="s">
        <v>167</v>
      </c>
      <c r="F145" t="s">
        <v>65</v>
      </c>
      <c r="G145" t="s">
        <v>47</v>
      </c>
      <c r="H145" t="s">
        <v>54</v>
      </c>
      <c r="I145" t="s">
        <v>243</v>
      </c>
      <c r="K145">
        <v>0</v>
      </c>
      <c r="L145">
        <v>10</v>
      </c>
    </row>
    <row r="146" spans="1:12">
      <c r="A146" s="2">
        <v>46052</v>
      </c>
      <c r="B146" t="s">
        <v>90</v>
      </c>
      <c r="C146">
        <v>64289</v>
      </c>
      <c r="D146">
        <v>1665</v>
      </c>
      <c r="E146" t="s">
        <v>244</v>
      </c>
      <c r="F146" t="s">
        <v>65</v>
      </c>
      <c r="G146" s="19" t="s">
        <v>47</v>
      </c>
      <c r="H146" s="19" t="s">
        <v>54</v>
      </c>
      <c r="K146">
        <v>150</v>
      </c>
      <c r="L146">
        <v>80</v>
      </c>
    </row>
    <row r="147" spans="1:12">
      <c r="A147" s="2">
        <v>46057</v>
      </c>
      <c r="B147" t="s">
        <v>44</v>
      </c>
      <c r="C147">
        <v>64280</v>
      </c>
      <c r="D147" s="72">
        <v>1666</v>
      </c>
      <c r="E147" t="s">
        <v>140</v>
      </c>
      <c r="F147" s="72" t="s">
        <v>46</v>
      </c>
      <c r="G147" t="s">
        <v>47</v>
      </c>
      <c r="H147" t="s">
        <v>48</v>
      </c>
      <c r="I147" t="s">
        <v>246</v>
      </c>
      <c r="K147">
        <v>-50</v>
      </c>
      <c r="L147">
        <v>-50</v>
      </c>
    </row>
    <row r="148" spans="1:12">
      <c r="A148" s="2">
        <v>46057</v>
      </c>
      <c r="B148" t="s">
        <v>44</v>
      </c>
      <c r="C148">
        <v>64280</v>
      </c>
      <c r="D148">
        <v>1667</v>
      </c>
      <c r="E148" t="s">
        <v>82</v>
      </c>
      <c r="F148" t="s">
        <v>46</v>
      </c>
      <c r="G148" t="s">
        <v>47</v>
      </c>
      <c r="H148" t="s">
        <v>48</v>
      </c>
      <c r="I148" t="s">
        <v>247</v>
      </c>
      <c r="K148">
        <v>-50</v>
      </c>
      <c r="L148">
        <v>-65</v>
      </c>
    </row>
    <row r="149" spans="1:12">
      <c r="A149" s="2">
        <v>46057</v>
      </c>
      <c r="B149" t="s">
        <v>90</v>
      </c>
      <c r="C149">
        <v>64280</v>
      </c>
      <c r="D149">
        <v>1668</v>
      </c>
      <c r="E149" t="s">
        <v>140</v>
      </c>
      <c r="F149" t="s">
        <v>46</v>
      </c>
      <c r="G149" t="s">
        <v>47</v>
      </c>
      <c r="H149" t="s">
        <v>48</v>
      </c>
      <c r="I149" t="s">
        <v>248</v>
      </c>
      <c r="K149">
        <v>-150</v>
      </c>
      <c r="L149">
        <v>-100</v>
      </c>
    </row>
    <row r="150" spans="1:12">
      <c r="A150" s="2">
        <v>46057</v>
      </c>
      <c r="B150" t="s">
        <v>90</v>
      </c>
      <c r="C150">
        <v>64280</v>
      </c>
      <c r="D150">
        <v>1669</v>
      </c>
      <c r="E150" t="s">
        <v>142</v>
      </c>
      <c r="F150" t="s">
        <v>46</v>
      </c>
      <c r="G150" t="s">
        <v>47</v>
      </c>
      <c r="H150" t="s">
        <v>48</v>
      </c>
      <c r="K150">
        <v>-110</v>
      </c>
      <c r="L150">
        <v>-90</v>
      </c>
    </row>
    <row r="151" spans="1:12">
      <c r="A151" s="2">
        <v>46057</v>
      </c>
      <c r="B151" t="s">
        <v>90</v>
      </c>
      <c r="C151">
        <v>64281</v>
      </c>
      <c r="D151">
        <v>1670</v>
      </c>
      <c r="E151" t="s">
        <v>194</v>
      </c>
      <c r="F151" t="s">
        <v>46</v>
      </c>
      <c r="G151" t="s">
        <v>47</v>
      </c>
      <c r="H151" t="s">
        <v>54</v>
      </c>
      <c r="I151" t="s">
        <v>249</v>
      </c>
      <c r="K151">
        <v>-55</v>
      </c>
      <c r="L151">
        <v>-55</v>
      </c>
    </row>
    <row r="152" spans="1:12">
      <c r="A152" s="2">
        <v>46057</v>
      </c>
      <c r="B152" t="s">
        <v>44</v>
      </c>
      <c r="C152">
        <v>64281</v>
      </c>
      <c r="D152">
        <v>1671</v>
      </c>
      <c r="E152" t="s">
        <v>184</v>
      </c>
      <c r="F152" t="s">
        <v>46</v>
      </c>
      <c r="G152" t="s">
        <v>47</v>
      </c>
      <c r="H152" t="s">
        <v>54</v>
      </c>
      <c r="K152">
        <v>-25</v>
      </c>
      <c r="L152">
        <v>0</v>
      </c>
    </row>
    <row r="153" spans="1:12">
      <c r="A153" s="2">
        <v>46057</v>
      </c>
      <c r="B153" t="s">
        <v>44</v>
      </c>
      <c r="C153">
        <v>64281</v>
      </c>
      <c r="D153">
        <v>1672</v>
      </c>
      <c r="E153" t="s">
        <v>250</v>
      </c>
      <c r="F153" t="s">
        <v>46</v>
      </c>
      <c r="G153" t="s">
        <v>47</v>
      </c>
      <c r="H153" t="s">
        <v>54</v>
      </c>
      <c r="I153" t="s">
        <v>252</v>
      </c>
      <c r="K153">
        <v>-75</v>
      </c>
      <c r="L153">
        <v>-125</v>
      </c>
    </row>
    <row r="154" spans="1:12">
      <c r="A154" s="2">
        <v>46057</v>
      </c>
      <c r="B154" t="s">
        <v>90</v>
      </c>
      <c r="C154">
        <v>64281</v>
      </c>
      <c r="D154">
        <v>1673</v>
      </c>
      <c r="E154" t="s">
        <v>251</v>
      </c>
      <c r="F154" t="s">
        <v>46</v>
      </c>
      <c r="G154" t="s">
        <v>47</v>
      </c>
      <c r="H154" t="s">
        <v>54</v>
      </c>
      <c r="I154" t="s">
        <v>254</v>
      </c>
      <c r="K154">
        <v>-60</v>
      </c>
      <c r="L154">
        <v>-30</v>
      </c>
    </row>
    <row r="155" spans="1:12">
      <c r="A155" s="2">
        <v>46057</v>
      </c>
      <c r="B155" t="s">
        <v>44</v>
      </c>
      <c r="C155">
        <v>64281</v>
      </c>
      <c r="D155">
        <v>1674</v>
      </c>
      <c r="E155" t="s">
        <v>253</v>
      </c>
      <c r="F155" t="s">
        <v>46</v>
      </c>
      <c r="G155" t="s">
        <v>47</v>
      </c>
      <c r="H155" t="s">
        <v>54</v>
      </c>
      <c r="I155" t="s">
        <v>256</v>
      </c>
      <c r="K155">
        <v>-100</v>
      </c>
      <c r="L155">
        <v>-175</v>
      </c>
    </row>
    <row r="156" spans="1:12">
      <c r="A156" s="2">
        <v>46057</v>
      </c>
      <c r="B156" t="s">
        <v>90</v>
      </c>
      <c r="C156">
        <v>64281</v>
      </c>
      <c r="D156">
        <v>1675</v>
      </c>
      <c r="E156" t="s">
        <v>255</v>
      </c>
      <c r="F156" t="s">
        <v>46</v>
      </c>
      <c r="G156" t="s">
        <v>47</v>
      </c>
      <c r="H156" t="s">
        <v>54</v>
      </c>
      <c r="K156">
        <v>-5</v>
      </c>
      <c r="L156">
        <v>-60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B504-5DFE-487A-911A-1A0769420546}">
  <sheetPr>
    <tabColor rgb="FFFF7C80"/>
  </sheetPr>
  <dimension ref="A1:R170"/>
  <sheetViews>
    <sheetView topLeftCell="A165" workbookViewId="0">
      <selection activeCell="I12" sqref="I12:L167"/>
    </sheetView>
  </sheetViews>
  <sheetFormatPr defaultRowHeight="15"/>
  <cols>
    <col min="1" max="1" width="16.140625" customWidth="1"/>
    <col min="2" max="2" width="11.42578125" customWidth="1"/>
    <col min="4" max="4" width="21.42578125" customWidth="1"/>
    <col min="5" max="5" width="12" bestFit="1" customWidth="1"/>
    <col min="6" max="6" width="12.7109375" bestFit="1" customWidth="1"/>
    <col min="7" max="7" width="14.5703125" bestFit="1" customWidth="1"/>
    <col min="8" max="8" width="14.140625" bestFit="1" customWidth="1"/>
    <col min="9" max="9" width="12.7109375" bestFit="1" customWidth="1"/>
    <col min="10" max="10" width="9" bestFit="1" customWidth="1"/>
    <col min="11" max="11" width="10.5703125" bestFit="1" customWidth="1"/>
    <col min="12" max="12" width="20" bestFit="1" customWidth="1"/>
    <col min="13" max="13" width="29.7109375" bestFit="1" customWidth="1"/>
  </cols>
  <sheetData>
    <row r="1" spans="1:15">
      <c r="A1" t="s">
        <v>279</v>
      </c>
    </row>
    <row r="2" spans="1:15">
      <c r="A2" t="s">
        <v>280</v>
      </c>
    </row>
    <row r="3" spans="1:15">
      <c r="A3" t="s">
        <v>281</v>
      </c>
    </row>
    <row r="4" spans="1:15">
      <c r="A4" t="s">
        <v>282</v>
      </c>
      <c r="B4">
        <v>0</v>
      </c>
    </row>
    <row r="5" spans="1:15">
      <c r="A5" t="s">
        <v>283</v>
      </c>
      <c r="B5">
        <v>0.2</v>
      </c>
    </row>
    <row r="6" spans="1:15">
      <c r="A6" t="s">
        <v>284</v>
      </c>
      <c r="B6">
        <v>0.28999999999999998</v>
      </c>
    </row>
    <row r="7" spans="1:15">
      <c r="A7" t="s">
        <v>285</v>
      </c>
      <c r="B7">
        <v>0.31</v>
      </c>
    </row>
    <row r="9" spans="1:15">
      <c r="A9" s="7" t="s">
        <v>286</v>
      </c>
    </row>
    <row r="10" spans="1:15">
      <c r="A10" t="s">
        <v>287</v>
      </c>
    </row>
    <row r="12" spans="1:15">
      <c r="A12" s="8" t="s">
        <v>1</v>
      </c>
      <c r="B12" s="1" t="s">
        <v>288</v>
      </c>
      <c r="C12" s="1" t="s">
        <v>289</v>
      </c>
      <c r="D12" s="1" t="s">
        <v>290</v>
      </c>
      <c r="E12" t="s">
        <v>291</v>
      </c>
      <c r="F12" s="1" t="s">
        <v>292</v>
      </c>
      <c r="G12" t="s">
        <v>293</v>
      </c>
      <c r="H12" t="s">
        <v>294</v>
      </c>
      <c r="I12" s="1" t="s">
        <v>37</v>
      </c>
      <c r="J12" s="1" t="s">
        <v>38</v>
      </c>
      <c r="K12" s="1" t="s">
        <v>39</v>
      </c>
      <c r="L12" s="1" t="s">
        <v>40</v>
      </c>
      <c r="M12" s="1" t="s">
        <v>295</v>
      </c>
      <c r="N12" t="s">
        <v>296</v>
      </c>
      <c r="O12" t="s">
        <v>297</v>
      </c>
    </row>
    <row r="13" spans="1:15">
      <c r="A13" s="9" t="s">
        <v>44</v>
      </c>
      <c r="B13" s="9">
        <v>63562</v>
      </c>
      <c r="C13">
        <v>1520</v>
      </c>
      <c r="D13" t="s">
        <v>298</v>
      </c>
      <c r="E13">
        <v>6</v>
      </c>
      <c r="F13">
        <v>15021</v>
      </c>
      <c r="G13">
        <v>55.48095703125</v>
      </c>
      <c r="H13">
        <v>-66.665351867675696</v>
      </c>
      <c r="I13">
        <v>0.54160809516906705</v>
      </c>
      <c r="J13">
        <v>469.3603515625</v>
      </c>
      <c r="K13">
        <v>-86.669921875</v>
      </c>
      <c r="L13">
        <f t="shared" ref="L13:L27" si="0">G13-H13</f>
        <v>122.1463088989257</v>
      </c>
      <c r="O13" s="1"/>
    </row>
    <row r="14" spans="1:15">
      <c r="A14" s="8" t="s">
        <v>44</v>
      </c>
      <c r="B14" s="8">
        <v>63562</v>
      </c>
      <c r="C14">
        <v>1521</v>
      </c>
      <c r="D14" t="s">
        <v>299</v>
      </c>
      <c r="E14">
        <v>7</v>
      </c>
      <c r="F14">
        <v>18021</v>
      </c>
      <c r="G14">
        <v>45.166015625</v>
      </c>
      <c r="H14">
        <v>-68.670188903808494</v>
      </c>
      <c r="I14">
        <v>0.61902707815170299</v>
      </c>
      <c r="J14">
        <v>360.7177734375</v>
      </c>
      <c r="K14">
        <v>-90.9423828125</v>
      </c>
      <c r="L14">
        <f t="shared" si="0"/>
        <v>113.83620452880849</v>
      </c>
      <c r="O14" s="1"/>
    </row>
    <row r="15" spans="1:15">
      <c r="A15" s="10" t="s">
        <v>44</v>
      </c>
      <c r="B15" s="10">
        <v>63563</v>
      </c>
      <c r="C15">
        <v>1522</v>
      </c>
      <c r="D15" t="s">
        <v>300</v>
      </c>
      <c r="E15">
        <v>6</v>
      </c>
      <c r="F15">
        <v>15021</v>
      </c>
      <c r="G15">
        <v>44.830322265625</v>
      </c>
      <c r="H15">
        <v>-69.520042419433494</v>
      </c>
      <c r="I15">
        <v>0.58323967456817605</v>
      </c>
      <c r="J15">
        <v>324.70703125</v>
      </c>
      <c r="K15">
        <v>-86.669921875</v>
      </c>
      <c r="L15">
        <f t="shared" si="0"/>
        <v>114.35036468505849</v>
      </c>
    </row>
    <row r="16" spans="1:15">
      <c r="A16" s="9" t="s">
        <v>44</v>
      </c>
      <c r="B16" s="9">
        <v>63564</v>
      </c>
      <c r="C16">
        <v>1523</v>
      </c>
      <c r="D16" t="s">
        <v>301</v>
      </c>
      <c r="E16">
        <v>6</v>
      </c>
      <c r="F16">
        <v>15021</v>
      </c>
      <c r="G16">
        <v>55.877685546875</v>
      </c>
      <c r="H16">
        <v>-68.606628417968693</v>
      </c>
      <c r="I16">
        <v>0.62347286939621005</v>
      </c>
      <c r="J16">
        <v>545.654296875</v>
      </c>
      <c r="K16">
        <v>-91.552734375</v>
      </c>
      <c r="L16">
        <f t="shared" si="0"/>
        <v>124.48431396484369</v>
      </c>
      <c r="O16" s="1"/>
    </row>
    <row r="17" spans="1:18">
      <c r="A17" s="9" t="s">
        <v>44</v>
      </c>
      <c r="B17" s="9">
        <v>63564</v>
      </c>
      <c r="C17">
        <v>1524</v>
      </c>
      <c r="D17" t="s">
        <v>302</v>
      </c>
      <c r="E17">
        <v>6</v>
      </c>
      <c r="F17">
        <v>15021</v>
      </c>
      <c r="G17">
        <v>62.835693359375</v>
      </c>
      <c r="H17">
        <v>-66.738784790039006</v>
      </c>
      <c r="I17">
        <v>0.63225173950195301</v>
      </c>
      <c r="J17">
        <v>511.474609375</v>
      </c>
      <c r="K17">
        <v>-100.09765625</v>
      </c>
      <c r="L17">
        <f t="shared" si="0"/>
        <v>129.57447814941401</v>
      </c>
    </row>
    <row r="18" spans="1:18">
      <c r="A18" s="8" t="s">
        <v>44</v>
      </c>
      <c r="B18" s="8">
        <v>63564</v>
      </c>
      <c r="C18">
        <v>1525</v>
      </c>
      <c r="D18" t="s">
        <v>303</v>
      </c>
      <c r="E18">
        <v>4</v>
      </c>
      <c r="F18">
        <v>9021</v>
      </c>
      <c r="G18">
        <v>46.539306640625</v>
      </c>
      <c r="H18">
        <v>-68.599189758300696</v>
      </c>
      <c r="I18">
        <v>0.642261862754822</v>
      </c>
      <c r="J18">
        <v>342.4072265625</v>
      </c>
      <c r="K18">
        <v>-95.21484375</v>
      </c>
      <c r="L18">
        <f t="shared" si="0"/>
        <v>115.1384963989257</v>
      </c>
    </row>
    <row r="19" spans="1:18">
      <c r="A19" s="10" t="s">
        <v>44</v>
      </c>
      <c r="B19" s="10">
        <v>63565</v>
      </c>
      <c r="C19">
        <v>1526</v>
      </c>
      <c r="D19" t="s">
        <v>304</v>
      </c>
      <c r="E19">
        <v>4</v>
      </c>
      <c r="F19">
        <v>9021</v>
      </c>
      <c r="G19">
        <v>47.882080078125</v>
      </c>
      <c r="H19">
        <v>-68.084571838378906</v>
      </c>
      <c r="I19">
        <v>0.58293956518173196</v>
      </c>
      <c r="J19">
        <v>488.28125</v>
      </c>
      <c r="K19">
        <v>-82.3974609375</v>
      </c>
      <c r="L19">
        <f t="shared" si="0"/>
        <v>115.96665191650391</v>
      </c>
    </row>
    <row r="20" spans="1:18">
      <c r="A20" s="9" t="s">
        <v>44</v>
      </c>
      <c r="B20" s="9">
        <v>63552</v>
      </c>
      <c r="C20">
        <v>1527</v>
      </c>
      <c r="D20" t="s">
        <v>305</v>
      </c>
      <c r="E20">
        <v>4</v>
      </c>
      <c r="F20">
        <v>9021</v>
      </c>
      <c r="G20">
        <v>48.919677734375</v>
      </c>
      <c r="H20">
        <v>-69.240554809570298</v>
      </c>
      <c r="I20">
        <v>0.52303367853164695</v>
      </c>
      <c r="J20">
        <v>431.5185546875</v>
      </c>
      <c r="K20">
        <v>-79.345703125</v>
      </c>
      <c r="L20">
        <f t="shared" si="0"/>
        <v>118.1602325439453</v>
      </c>
    </row>
    <row r="21" spans="1:18">
      <c r="A21" s="8" t="s">
        <v>44</v>
      </c>
      <c r="B21" s="8">
        <v>63552</v>
      </c>
      <c r="C21">
        <v>1528</v>
      </c>
      <c r="D21" t="s">
        <v>306</v>
      </c>
      <c r="E21">
        <v>3</v>
      </c>
      <c r="F21">
        <v>6021</v>
      </c>
      <c r="G21">
        <v>58.624267578125</v>
      </c>
      <c r="H21">
        <v>-65.1025390625</v>
      </c>
      <c r="I21">
        <v>0.55986052751541104</v>
      </c>
      <c r="J21">
        <v>659.7900390625</v>
      </c>
      <c r="K21">
        <v>-87.890625</v>
      </c>
      <c r="L21">
        <f t="shared" si="0"/>
        <v>123.726806640625</v>
      </c>
      <c r="O21" s="1"/>
    </row>
    <row r="22" spans="1:18">
      <c r="A22" s="11" t="s">
        <v>44</v>
      </c>
      <c r="B22" s="11">
        <v>63553</v>
      </c>
      <c r="C22">
        <v>1529</v>
      </c>
      <c r="D22" t="s">
        <v>307</v>
      </c>
      <c r="E22">
        <v>8</v>
      </c>
      <c r="F22">
        <v>21021</v>
      </c>
      <c r="G22">
        <v>48.52294921875</v>
      </c>
      <c r="H22">
        <v>-67.375724792480398</v>
      </c>
      <c r="I22">
        <v>0.45778903365135198</v>
      </c>
      <c r="J22">
        <v>444.9462890625</v>
      </c>
      <c r="K22">
        <v>-104.98046875</v>
      </c>
      <c r="L22">
        <f t="shared" si="0"/>
        <v>115.8986740112304</v>
      </c>
      <c r="O22" s="1"/>
    </row>
    <row r="23" spans="1:18">
      <c r="A23" s="9" t="s">
        <v>44</v>
      </c>
      <c r="B23" s="9">
        <v>63550</v>
      </c>
      <c r="C23">
        <v>1530</v>
      </c>
      <c r="D23" t="s">
        <v>308</v>
      </c>
      <c r="E23">
        <v>5</v>
      </c>
      <c r="F23">
        <v>12021</v>
      </c>
      <c r="G23">
        <v>60.24169921875</v>
      </c>
      <c r="H23">
        <v>-68.852149963378906</v>
      </c>
      <c r="I23">
        <v>0.77293372154235795</v>
      </c>
      <c r="J23">
        <v>353.3935546875</v>
      </c>
      <c r="K23">
        <v>-89.111328125</v>
      </c>
      <c r="L23">
        <f t="shared" si="0"/>
        <v>129.09384918212891</v>
      </c>
      <c r="O23" s="1"/>
    </row>
    <row r="24" spans="1:18" s="7" customFormat="1">
      <c r="A24" s="14" t="s">
        <v>69</v>
      </c>
      <c r="B24" s="14">
        <v>63550</v>
      </c>
      <c r="C24" s="19">
        <v>1531</v>
      </c>
      <c r="D24" s="7" t="s">
        <v>309</v>
      </c>
      <c r="E24" s="7">
        <v>2</v>
      </c>
      <c r="F24" s="7">
        <v>3021</v>
      </c>
      <c r="G24" s="7">
        <v>34.393310546875</v>
      </c>
      <c r="H24" s="7">
        <v>-65.736740112304602</v>
      </c>
      <c r="I24" s="7">
        <v>0.59710901975631703</v>
      </c>
      <c r="J24" s="7">
        <v>216.6748046875</v>
      </c>
      <c r="K24" s="7">
        <v>-72.6318359375</v>
      </c>
      <c r="L24" s="7">
        <f t="shared" si="0"/>
        <v>100.1300506591796</v>
      </c>
      <c r="O24" s="12"/>
      <c r="P24" s="7" t="s">
        <v>310</v>
      </c>
    </row>
    <row r="25" spans="1:18">
      <c r="A25" s="9" t="s">
        <v>44</v>
      </c>
      <c r="B25" s="9">
        <v>63550</v>
      </c>
      <c r="C25">
        <v>1532</v>
      </c>
      <c r="D25" t="s">
        <v>311</v>
      </c>
      <c r="E25">
        <v>9</v>
      </c>
      <c r="F25">
        <v>24021</v>
      </c>
      <c r="G25">
        <v>58.746337890625</v>
      </c>
      <c r="H25">
        <v>-69.050109863281193</v>
      </c>
      <c r="I25">
        <v>0.69332736730575595</v>
      </c>
      <c r="J25">
        <v>494.384765625</v>
      </c>
      <c r="K25">
        <v>-89.7216796875</v>
      </c>
      <c r="L25">
        <f t="shared" si="0"/>
        <v>127.79644775390619</v>
      </c>
    </row>
    <row r="26" spans="1:18">
      <c r="A26" s="8" t="s">
        <v>69</v>
      </c>
      <c r="B26" s="8">
        <v>63550</v>
      </c>
      <c r="C26" s="19">
        <v>1533</v>
      </c>
      <c r="D26" t="s">
        <v>312</v>
      </c>
      <c r="E26">
        <v>4</v>
      </c>
      <c r="F26">
        <v>9021</v>
      </c>
      <c r="G26">
        <v>56.09130859375</v>
      </c>
      <c r="H26">
        <v>-64.670822143554602</v>
      </c>
      <c r="I26">
        <v>0.73656040430069003</v>
      </c>
      <c r="J26">
        <v>438.8427734375</v>
      </c>
      <c r="K26">
        <v>-79.9560546875</v>
      </c>
      <c r="L26">
        <f t="shared" si="0"/>
        <v>120.7621307373046</v>
      </c>
    </row>
    <row r="27" spans="1:18">
      <c r="A27" s="11" t="s">
        <v>44</v>
      </c>
      <c r="B27" s="11">
        <v>63551</v>
      </c>
      <c r="C27">
        <v>1534</v>
      </c>
      <c r="D27" t="s">
        <v>313</v>
      </c>
      <c r="E27">
        <v>3</v>
      </c>
      <c r="F27">
        <v>6021</v>
      </c>
      <c r="G27">
        <v>65.582275390625</v>
      </c>
      <c r="H27">
        <v>-67.433135986328097</v>
      </c>
      <c r="I27">
        <v>0.60634887218475297</v>
      </c>
      <c r="J27">
        <v>600.5859375</v>
      </c>
      <c r="K27">
        <v>-93.3837890625</v>
      </c>
      <c r="L27">
        <f t="shared" si="0"/>
        <v>133.0154113769531</v>
      </c>
    </row>
    <row r="28" spans="1:18">
      <c r="A28" s="15" t="s">
        <v>69</v>
      </c>
      <c r="B28" s="15">
        <v>63542</v>
      </c>
      <c r="C28" s="19">
        <v>1536</v>
      </c>
      <c r="D28" s="7" t="s">
        <v>314</v>
      </c>
      <c r="E28" s="7">
        <v>3</v>
      </c>
      <c r="F28" s="7">
        <v>6021</v>
      </c>
      <c r="G28" s="7">
        <v>49.957275390625</v>
      </c>
      <c r="H28" s="7">
        <v>-68.055824279785099</v>
      </c>
      <c r="I28" s="7">
        <v>0.61480087041854903</v>
      </c>
      <c r="J28" s="7">
        <v>324.0966796875</v>
      </c>
      <c r="K28" s="7">
        <v>-75.0732421875</v>
      </c>
      <c r="L28" s="7">
        <f>G28-H28</f>
        <v>118.0130996704101</v>
      </c>
      <c r="M28" s="7"/>
      <c r="N28" s="7"/>
      <c r="O28" s="12"/>
      <c r="P28" s="7" t="s">
        <v>315</v>
      </c>
      <c r="Q28" s="7"/>
      <c r="R28" s="7"/>
    </row>
    <row r="29" spans="1:18">
      <c r="A29" s="9" t="s">
        <v>44</v>
      </c>
      <c r="B29" s="9">
        <v>63543</v>
      </c>
      <c r="C29">
        <v>1537</v>
      </c>
      <c r="D29" t="s">
        <v>316</v>
      </c>
      <c r="E29">
        <v>10</v>
      </c>
      <c r="F29">
        <v>27021</v>
      </c>
      <c r="G29">
        <v>63.873291015625</v>
      </c>
      <c r="H29">
        <v>-67.123817443847599</v>
      </c>
      <c r="I29">
        <v>0.48238804936409002</v>
      </c>
      <c r="J29">
        <v>528.564453125</v>
      </c>
      <c r="K29">
        <v>-134.8876953125</v>
      </c>
      <c r="L29">
        <f t="shared" ref="L29:L44" si="1">G29-H29</f>
        <v>130.9971084594726</v>
      </c>
      <c r="O29" s="1"/>
    </row>
    <row r="30" spans="1:18">
      <c r="A30" s="14" t="s">
        <v>69</v>
      </c>
      <c r="B30" s="14">
        <v>63543</v>
      </c>
      <c r="C30" s="19">
        <v>1538</v>
      </c>
      <c r="D30" s="7" t="s">
        <v>317</v>
      </c>
      <c r="E30" s="7">
        <v>4</v>
      </c>
      <c r="F30" s="7">
        <v>9021</v>
      </c>
      <c r="G30" s="7">
        <v>54.50439453125</v>
      </c>
      <c r="H30" s="7">
        <v>-67.906433105468693</v>
      </c>
      <c r="I30" s="7">
        <v>0.54281198978424094</v>
      </c>
      <c r="J30" s="7">
        <v>393.6767578125</v>
      </c>
      <c r="K30" s="7">
        <v>-94.6044921875</v>
      </c>
      <c r="L30" s="7">
        <f t="shared" si="1"/>
        <v>122.41082763671869</v>
      </c>
      <c r="M30" s="7"/>
      <c r="N30" s="7"/>
      <c r="O30" s="7"/>
      <c r="P30" s="7" t="s">
        <v>315</v>
      </c>
      <c r="Q30" s="7"/>
      <c r="R30" s="7"/>
    </row>
    <row r="31" spans="1:18">
      <c r="A31" s="8" t="s">
        <v>44</v>
      </c>
      <c r="B31" s="8">
        <v>63543</v>
      </c>
      <c r="C31">
        <v>1539</v>
      </c>
      <c r="D31" t="s">
        <v>318</v>
      </c>
      <c r="E31">
        <v>5</v>
      </c>
      <c r="F31">
        <v>12021</v>
      </c>
      <c r="G31">
        <v>53.436279296875</v>
      </c>
      <c r="H31">
        <v>-70.172271728515597</v>
      </c>
      <c r="I31">
        <v>0.46428307890892001</v>
      </c>
      <c r="J31">
        <v>623.779296875</v>
      </c>
      <c r="K31">
        <v>-114.74609375</v>
      </c>
      <c r="L31">
        <f t="shared" si="1"/>
        <v>123.6085510253906</v>
      </c>
      <c r="N31" s="1"/>
    </row>
    <row r="32" spans="1:18">
      <c r="A32" s="10" t="s">
        <v>69</v>
      </c>
      <c r="B32" s="10">
        <v>63558</v>
      </c>
      <c r="C32">
        <v>1540</v>
      </c>
      <c r="D32" t="s">
        <v>319</v>
      </c>
      <c r="E32">
        <v>5</v>
      </c>
      <c r="F32">
        <v>12021</v>
      </c>
      <c r="G32">
        <v>62.98828125</v>
      </c>
      <c r="H32">
        <v>-65.783050537109304</v>
      </c>
      <c r="I32">
        <v>0.953862965106964</v>
      </c>
      <c r="J32">
        <v>418.701171875</v>
      </c>
      <c r="K32">
        <v>-65.3076171875</v>
      </c>
      <c r="L32">
        <f t="shared" si="1"/>
        <v>128.77133178710932</v>
      </c>
    </row>
    <row r="33" spans="1:18">
      <c r="A33" s="9" t="s">
        <v>69</v>
      </c>
      <c r="B33" s="9">
        <v>63559</v>
      </c>
      <c r="C33" s="19">
        <v>1541</v>
      </c>
      <c r="D33" t="s">
        <v>320</v>
      </c>
      <c r="E33">
        <v>9</v>
      </c>
      <c r="F33">
        <v>24021</v>
      </c>
      <c r="G33">
        <v>27.099609375</v>
      </c>
      <c r="H33">
        <v>-69.594314575195298</v>
      </c>
      <c r="I33">
        <v>1.04851305484771</v>
      </c>
      <c r="J33">
        <v>156.25</v>
      </c>
      <c r="K33">
        <v>-30.517578125</v>
      </c>
      <c r="L33">
        <f t="shared" si="1"/>
        <v>96.693923950195298</v>
      </c>
    </row>
    <row r="34" spans="1:18">
      <c r="A34" s="16" t="s">
        <v>90</v>
      </c>
      <c r="B34" s="16">
        <v>63559</v>
      </c>
      <c r="C34" s="19">
        <v>1542</v>
      </c>
      <c r="D34" s="7" t="s">
        <v>321</v>
      </c>
      <c r="E34" s="7">
        <v>6</v>
      </c>
      <c r="F34" s="7">
        <v>15021</v>
      </c>
      <c r="G34" s="7">
        <v>14.495849609375</v>
      </c>
      <c r="H34" s="7">
        <v>-44.507480621337798</v>
      </c>
      <c r="I34" s="7">
        <v>0.66797918081283603</v>
      </c>
      <c r="J34" s="7">
        <v>110.4736328125</v>
      </c>
      <c r="K34" s="7">
        <v>-30.517578125</v>
      </c>
      <c r="L34" s="7">
        <f t="shared" si="1"/>
        <v>59.003330230712798</v>
      </c>
      <c r="M34" s="7"/>
      <c r="N34" s="7"/>
      <c r="O34" s="7"/>
      <c r="P34" s="7" t="s">
        <v>322</v>
      </c>
      <c r="Q34" s="7"/>
      <c r="R34" s="7"/>
    </row>
    <row r="35" spans="1:18">
      <c r="A35" s="10" t="s">
        <v>69</v>
      </c>
      <c r="B35" s="10">
        <v>63560</v>
      </c>
      <c r="C35">
        <v>1543</v>
      </c>
      <c r="D35" t="s">
        <v>323</v>
      </c>
      <c r="E35">
        <v>4</v>
      </c>
      <c r="F35">
        <v>9021</v>
      </c>
      <c r="G35">
        <v>58.441162109375</v>
      </c>
      <c r="H35">
        <v>-69.974128723144503</v>
      </c>
      <c r="I35">
        <v>0.81717985868454002</v>
      </c>
      <c r="J35">
        <v>328.369140625</v>
      </c>
      <c r="K35">
        <v>-70.1904296875</v>
      </c>
      <c r="L35">
        <f t="shared" si="1"/>
        <v>128.4152908325195</v>
      </c>
    </row>
    <row r="36" spans="1:18">
      <c r="A36" s="9" t="s">
        <v>69</v>
      </c>
      <c r="B36" s="9">
        <v>63561</v>
      </c>
      <c r="C36" s="19">
        <v>1544</v>
      </c>
      <c r="D36" t="s">
        <v>324</v>
      </c>
      <c r="E36">
        <v>7</v>
      </c>
      <c r="F36">
        <v>18021</v>
      </c>
      <c r="G36">
        <v>48.828125</v>
      </c>
      <c r="H36">
        <v>-67.797004699707003</v>
      </c>
      <c r="I36">
        <v>0.67116570472717296</v>
      </c>
      <c r="J36">
        <v>303.3447265625</v>
      </c>
      <c r="K36">
        <v>-76.2939453125</v>
      </c>
      <c r="L36">
        <f t="shared" si="1"/>
        <v>116.625129699707</v>
      </c>
      <c r="N36" s="1"/>
    </row>
    <row r="37" spans="1:18">
      <c r="A37" s="8" t="s">
        <v>44</v>
      </c>
      <c r="B37" s="8">
        <v>63561</v>
      </c>
      <c r="C37">
        <v>1545</v>
      </c>
      <c r="D37" t="s">
        <v>325</v>
      </c>
      <c r="E37">
        <v>5</v>
      </c>
      <c r="F37">
        <v>12021</v>
      </c>
      <c r="G37">
        <v>35.2783203125</v>
      </c>
      <c r="H37">
        <v>-68.617477416992102</v>
      </c>
      <c r="I37">
        <v>0.45493358373642001</v>
      </c>
      <c r="J37">
        <v>404.052734375</v>
      </c>
      <c r="K37">
        <v>-102.5390625</v>
      </c>
      <c r="L37">
        <f t="shared" si="1"/>
        <v>103.8957977294921</v>
      </c>
      <c r="N37" s="1"/>
    </row>
    <row r="38" spans="1:18">
      <c r="A38" s="15" t="s">
        <v>90</v>
      </c>
      <c r="B38" s="15">
        <v>63560</v>
      </c>
      <c r="C38" s="19">
        <v>1546</v>
      </c>
      <c r="D38" s="7" t="s">
        <v>326</v>
      </c>
      <c r="E38" s="7">
        <v>4</v>
      </c>
      <c r="F38" s="7">
        <v>9021</v>
      </c>
      <c r="G38" s="7">
        <v>14.678955078125</v>
      </c>
      <c r="H38" s="7">
        <v>-69.849502563476506</v>
      </c>
      <c r="I38" s="7">
        <v>0.47829487919807401</v>
      </c>
      <c r="J38" s="7">
        <v>178.22265625</v>
      </c>
      <c r="K38" s="7">
        <v>-54.3212890625</v>
      </c>
      <c r="L38" s="7">
        <f t="shared" si="1"/>
        <v>84.528457641601506</v>
      </c>
      <c r="M38" s="7"/>
      <c r="N38" s="12"/>
      <c r="O38" s="7"/>
      <c r="P38" s="7" t="s">
        <v>327</v>
      </c>
      <c r="Q38" s="7"/>
      <c r="R38" s="7"/>
    </row>
    <row r="39" spans="1:18">
      <c r="A39" s="9" t="s">
        <v>44</v>
      </c>
      <c r="B39" s="9">
        <v>63544</v>
      </c>
      <c r="C39">
        <v>1547</v>
      </c>
      <c r="D39" t="s">
        <v>328</v>
      </c>
      <c r="E39">
        <v>4</v>
      </c>
      <c r="F39">
        <v>9021</v>
      </c>
      <c r="G39">
        <v>64.88037109375</v>
      </c>
      <c r="H39">
        <v>-69.434860229492102</v>
      </c>
      <c r="I39">
        <v>0.483803421258926</v>
      </c>
      <c r="J39">
        <v>714.111328125</v>
      </c>
      <c r="K39">
        <v>-130.0048828125</v>
      </c>
      <c r="L39">
        <f t="shared" si="1"/>
        <v>134.3152313232421</v>
      </c>
      <c r="N39" s="1"/>
    </row>
    <row r="40" spans="1:18">
      <c r="A40" s="9" t="s">
        <v>101</v>
      </c>
      <c r="B40" s="9">
        <v>63544</v>
      </c>
      <c r="C40" s="19">
        <v>1548</v>
      </c>
      <c r="D40" t="s">
        <v>329</v>
      </c>
      <c r="E40">
        <v>7</v>
      </c>
      <c r="F40">
        <v>18021</v>
      </c>
      <c r="G40">
        <v>39.337158203125</v>
      </c>
      <c r="H40">
        <v>-67.185089111328097</v>
      </c>
      <c r="I40">
        <v>0.74478542804717995</v>
      </c>
      <c r="J40">
        <v>247.1923828125</v>
      </c>
      <c r="K40">
        <v>-77.5146484375</v>
      </c>
      <c r="L40">
        <f t="shared" si="1"/>
        <v>106.5222473144531</v>
      </c>
    </row>
    <row r="41" spans="1:18">
      <c r="A41" s="8" t="s">
        <v>90</v>
      </c>
      <c r="B41" s="8">
        <v>63544</v>
      </c>
      <c r="C41">
        <v>1549</v>
      </c>
      <c r="D41" t="s">
        <v>330</v>
      </c>
      <c r="E41">
        <v>7</v>
      </c>
      <c r="F41">
        <v>18021</v>
      </c>
      <c r="G41">
        <v>40.313720703125</v>
      </c>
      <c r="H41">
        <v>-68.877876281738196</v>
      </c>
      <c r="I41">
        <v>0.43750602006912198</v>
      </c>
      <c r="J41">
        <v>369.873046875</v>
      </c>
      <c r="K41">
        <v>-96.435546875</v>
      </c>
      <c r="L41">
        <f t="shared" si="1"/>
        <v>109.1915969848632</v>
      </c>
    </row>
    <row r="42" spans="1:18">
      <c r="A42" s="9" t="s">
        <v>69</v>
      </c>
      <c r="B42" s="9">
        <v>63545</v>
      </c>
      <c r="C42">
        <v>1550</v>
      </c>
      <c r="D42" t="s">
        <v>331</v>
      </c>
      <c r="E42">
        <v>2</v>
      </c>
      <c r="F42">
        <v>3021</v>
      </c>
      <c r="G42">
        <v>44.830322265625</v>
      </c>
      <c r="H42">
        <v>-69.624298095703097</v>
      </c>
      <c r="I42">
        <v>0.84602808952331499</v>
      </c>
      <c r="J42">
        <v>254.5166015625</v>
      </c>
      <c r="K42">
        <v>-51.26953125</v>
      </c>
      <c r="L42">
        <f t="shared" si="1"/>
        <v>114.4546203613281</v>
      </c>
    </row>
    <row r="43" spans="1:18">
      <c r="A43" s="9" t="s">
        <v>44</v>
      </c>
      <c r="B43" s="9">
        <v>63545</v>
      </c>
      <c r="C43">
        <v>1551</v>
      </c>
      <c r="D43" t="s">
        <v>332</v>
      </c>
      <c r="E43">
        <v>4</v>
      </c>
      <c r="F43">
        <v>9021</v>
      </c>
      <c r="G43">
        <v>49.4384765625</v>
      </c>
      <c r="H43">
        <v>-68.311843872070298</v>
      </c>
      <c r="I43">
        <v>0.43135955929756198</v>
      </c>
      <c r="J43">
        <v>513.916015625</v>
      </c>
      <c r="K43">
        <v>-118.408203125</v>
      </c>
      <c r="L43">
        <f t="shared" si="1"/>
        <v>117.7503204345703</v>
      </c>
    </row>
    <row r="44" spans="1:18">
      <c r="A44" s="55" t="s">
        <v>90</v>
      </c>
      <c r="B44" s="55">
        <v>63545</v>
      </c>
      <c r="C44" s="81">
        <v>1552</v>
      </c>
      <c r="D44" t="s">
        <v>333</v>
      </c>
      <c r="E44">
        <v>1</v>
      </c>
      <c r="F44">
        <v>21</v>
      </c>
      <c r="G44">
        <v>39.9169921875</v>
      </c>
      <c r="H44">
        <v>-66.062072753906193</v>
      </c>
      <c r="I44">
        <v>0.56051903963089</v>
      </c>
      <c r="J44">
        <v>343.6279296875</v>
      </c>
      <c r="K44">
        <v>-93.994140625</v>
      </c>
      <c r="L44">
        <f t="shared" si="1"/>
        <v>105.97906494140619</v>
      </c>
      <c r="N44" s="1"/>
    </row>
    <row r="45" spans="1:18">
      <c r="A45" s="56" t="s">
        <v>44</v>
      </c>
      <c r="B45" s="52">
        <v>63549</v>
      </c>
      <c r="C45">
        <v>1553</v>
      </c>
      <c r="D45" s="53" t="s">
        <v>334</v>
      </c>
      <c r="E45" s="53">
        <v>3</v>
      </c>
      <c r="F45" s="53">
        <v>6021</v>
      </c>
      <c r="G45" s="53">
        <v>47.271728520000003</v>
      </c>
      <c r="H45" s="53">
        <v>-69.027320860000003</v>
      </c>
      <c r="I45" s="53">
        <v>0.49100729799999998</v>
      </c>
      <c r="J45" s="53">
        <v>443.11523440000002</v>
      </c>
      <c r="K45" s="53">
        <v>-135.49804689999999</v>
      </c>
      <c r="L45" s="53">
        <v>116.2990494</v>
      </c>
    </row>
    <row r="46" spans="1:18">
      <c r="A46" s="56" t="s">
        <v>69</v>
      </c>
      <c r="B46" s="52">
        <v>63549</v>
      </c>
      <c r="C46">
        <v>1554</v>
      </c>
      <c r="D46" s="53" t="s">
        <v>335</v>
      </c>
      <c r="E46" s="53">
        <v>5</v>
      </c>
      <c r="F46" s="53">
        <v>12021</v>
      </c>
      <c r="G46" s="53">
        <v>45.654296879999997</v>
      </c>
      <c r="H46" s="53">
        <v>-68.828842159999994</v>
      </c>
      <c r="I46" s="53">
        <v>0.75289076600000004</v>
      </c>
      <c r="J46" s="53">
        <v>308.2275391</v>
      </c>
      <c r="K46" s="53">
        <v>-59.814453129999997</v>
      </c>
      <c r="L46" s="53">
        <v>114.48313899999999</v>
      </c>
    </row>
    <row r="47" spans="1:18">
      <c r="A47" s="56" t="s">
        <v>44</v>
      </c>
      <c r="B47" s="52">
        <v>63549</v>
      </c>
      <c r="C47">
        <v>1555</v>
      </c>
      <c r="D47" s="53" t="s">
        <v>336</v>
      </c>
      <c r="E47" s="53">
        <v>4</v>
      </c>
      <c r="F47" s="53">
        <v>9021</v>
      </c>
      <c r="G47" s="53">
        <v>38.604736330000001</v>
      </c>
      <c r="H47" s="53">
        <v>-68.447975159999999</v>
      </c>
      <c r="I47" s="53">
        <v>0.381113857</v>
      </c>
      <c r="J47" s="53">
        <v>534.05761719999998</v>
      </c>
      <c r="K47" s="53">
        <v>-137.93945310000001</v>
      </c>
      <c r="L47" s="53">
        <v>107.0527115</v>
      </c>
    </row>
    <row r="48" spans="1:18">
      <c r="A48" s="56" t="s">
        <v>69</v>
      </c>
      <c r="B48" s="52">
        <v>63549</v>
      </c>
      <c r="C48">
        <v>1556</v>
      </c>
      <c r="D48" s="53" t="s">
        <v>337</v>
      </c>
      <c r="E48" s="53">
        <v>3</v>
      </c>
      <c r="F48" s="53">
        <v>6021</v>
      </c>
      <c r="G48" s="53">
        <v>51.391601559999998</v>
      </c>
      <c r="H48" s="53">
        <v>-68.830810549999995</v>
      </c>
      <c r="I48" s="53">
        <v>0.67624563000000004</v>
      </c>
      <c r="J48" s="53">
        <v>359.49707030000002</v>
      </c>
      <c r="K48" s="53">
        <v>-70.190429690000002</v>
      </c>
      <c r="L48" s="53">
        <v>120.2224121</v>
      </c>
    </row>
    <row r="49" spans="1:15">
      <c r="A49" s="57" t="s">
        <v>90</v>
      </c>
      <c r="B49" s="54">
        <v>63549</v>
      </c>
      <c r="C49">
        <v>1557</v>
      </c>
      <c r="D49" s="53" t="s">
        <v>334</v>
      </c>
      <c r="E49" s="53">
        <v>4</v>
      </c>
      <c r="F49" s="53">
        <v>9021</v>
      </c>
      <c r="G49" s="53">
        <v>49.011230470000001</v>
      </c>
      <c r="H49" s="53">
        <v>-67.578102110000003</v>
      </c>
      <c r="I49" s="53">
        <v>0.44488096199999999</v>
      </c>
      <c r="J49" s="53">
        <v>463.8671875</v>
      </c>
      <c r="K49" s="53">
        <v>-106.8115234</v>
      </c>
      <c r="L49" s="53">
        <v>116.58933260000001</v>
      </c>
    </row>
    <row r="50" spans="1:15">
      <c r="A50" s="56" t="s">
        <v>69</v>
      </c>
      <c r="B50" s="52">
        <v>63546</v>
      </c>
      <c r="C50">
        <v>1558</v>
      </c>
      <c r="D50" s="53" t="s">
        <v>338</v>
      </c>
      <c r="E50" s="53">
        <v>3</v>
      </c>
      <c r="F50" s="53">
        <v>6021</v>
      </c>
      <c r="G50" s="53">
        <v>48.065185550000002</v>
      </c>
      <c r="H50" s="53">
        <v>-70.981620789999994</v>
      </c>
      <c r="I50" s="53">
        <v>0.83763694799999999</v>
      </c>
      <c r="J50" s="53">
        <v>300.90332030000002</v>
      </c>
      <c r="K50" s="53">
        <v>-70.190429690000002</v>
      </c>
      <c r="L50" s="53">
        <v>119.0468063</v>
      </c>
      <c r="O50" s="1"/>
    </row>
    <row r="51" spans="1:15">
      <c r="A51" s="56" t="s">
        <v>69</v>
      </c>
      <c r="B51" s="52">
        <v>63546</v>
      </c>
      <c r="C51">
        <v>1559</v>
      </c>
      <c r="D51" s="53" t="s">
        <v>339</v>
      </c>
      <c r="E51" s="53">
        <v>6</v>
      </c>
      <c r="F51" s="53">
        <v>15021</v>
      </c>
      <c r="G51" s="53">
        <v>43.701171879999997</v>
      </c>
      <c r="H51" s="53">
        <v>-67.939155580000005</v>
      </c>
      <c r="I51" s="53">
        <v>0.75244265799999999</v>
      </c>
      <c r="J51" s="53">
        <v>338.74511719999998</v>
      </c>
      <c r="K51" s="53">
        <v>-78.735351559999998</v>
      </c>
      <c r="L51" s="53">
        <v>111.6403275</v>
      </c>
    </row>
    <row r="52" spans="1:15">
      <c r="A52" s="56" t="s">
        <v>44</v>
      </c>
      <c r="B52" s="52">
        <v>63546</v>
      </c>
      <c r="C52">
        <v>1560</v>
      </c>
      <c r="D52" s="53" t="s">
        <v>340</v>
      </c>
      <c r="E52" s="53">
        <v>3</v>
      </c>
      <c r="F52" s="53">
        <v>6021</v>
      </c>
      <c r="G52" s="53">
        <v>56.640625</v>
      </c>
      <c r="H52" s="53">
        <v>-68.373497009999994</v>
      </c>
      <c r="I52" s="53">
        <v>0.43466016699999999</v>
      </c>
      <c r="J52" s="53">
        <v>607.91015630000004</v>
      </c>
      <c r="K52" s="53">
        <v>-134.88769529999999</v>
      </c>
      <c r="L52" s="53">
        <v>125.014122</v>
      </c>
    </row>
    <row r="53" spans="1:15">
      <c r="A53" s="57" t="s">
        <v>90</v>
      </c>
      <c r="B53" s="54">
        <v>63546</v>
      </c>
      <c r="C53" s="58">
        <v>1561</v>
      </c>
      <c r="D53" s="53" t="s">
        <v>336</v>
      </c>
      <c r="E53" s="53">
        <v>5</v>
      </c>
      <c r="F53" s="53">
        <v>12021</v>
      </c>
      <c r="G53" s="53">
        <v>16.84570313</v>
      </c>
      <c r="H53" s="53">
        <v>-65.677734380000004</v>
      </c>
      <c r="I53" s="53">
        <v>0.57877844599999995</v>
      </c>
      <c r="J53" s="53">
        <v>114.1357422</v>
      </c>
      <c r="K53" s="53">
        <v>-47.607421879999997</v>
      </c>
      <c r="L53" s="53">
        <v>82.5234375</v>
      </c>
    </row>
    <row r="54" spans="1:15">
      <c r="A54" s="56" t="s">
        <v>90</v>
      </c>
      <c r="B54" s="52">
        <v>63554</v>
      </c>
      <c r="C54" s="19">
        <v>1562</v>
      </c>
      <c r="D54" s="53" t="s">
        <v>341</v>
      </c>
      <c r="E54" s="53">
        <v>1</v>
      </c>
      <c r="F54" s="53">
        <v>21</v>
      </c>
      <c r="G54" s="53">
        <v>33.599853520000003</v>
      </c>
      <c r="H54" s="53">
        <v>-67.531120299999998</v>
      </c>
      <c r="I54" s="53">
        <v>0.22168078999999999</v>
      </c>
      <c r="J54" s="53">
        <v>409.5458984</v>
      </c>
      <c r="K54" s="53">
        <v>-260.00976559999998</v>
      </c>
      <c r="L54" s="53">
        <v>101.13097380000001</v>
      </c>
    </row>
    <row r="55" spans="1:15">
      <c r="A55" s="56" t="s">
        <v>44</v>
      </c>
      <c r="B55" s="52">
        <v>63554</v>
      </c>
      <c r="C55">
        <v>1563</v>
      </c>
      <c r="D55" s="53" t="s">
        <v>342</v>
      </c>
      <c r="E55" s="53">
        <v>3</v>
      </c>
      <c r="F55" s="53">
        <v>6021</v>
      </c>
      <c r="G55" s="53">
        <v>52.001953129999997</v>
      </c>
      <c r="H55" s="53">
        <v>-69.769165040000004</v>
      </c>
      <c r="I55" s="53">
        <v>0.43876317100000001</v>
      </c>
      <c r="J55" s="53">
        <v>514.52636719999998</v>
      </c>
      <c r="K55" s="53">
        <v>-123.29101559999999</v>
      </c>
      <c r="L55" s="53">
        <v>121.7711182</v>
      </c>
    </row>
    <row r="56" spans="1:15">
      <c r="A56" s="57" t="s">
        <v>44</v>
      </c>
      <c r="B56" s="54">
        <v>63554</v>
      </c>
      <c r="C56">
        <v>1564</v>
      </c>
      <c r="D56" s="53" t="s">
        <v>343</v>
      </c>
      <c r="E56" s="53">
        <v>5</v>
      </c>
      <c r="F56" s="53">
        <v>12021</v>
      </c>
      <c r="G56" s="53">
        <v>59.600830080000001</v>
      </c>
      <c r="H56" s="53">
        <v>-67.080589290000006</v>
      </c>
      <c r="I56" s="53">
        <v>0.49803692100000002</v>
      </c>
      <c r="J56" s="53">
        <v>495.60546879999998</v>
      </c>
      <c r="K56" s="53">
        <v>-117.1875</v>
      </c>
      <c r="L56" s="53">
        <v>126.6814194</v>
      </c>
    </row>
    <row r="57" spans="1:15">
      <c r="A57" s="56" t="s">
        <v>44</v>
      </c>
      <c r="B57" s="52">
        <v>63555</v>
      </c>
      <c r="C57">
        <v>1565</v>
      </c>
      <c r="D57" s="53" t="s">
        <v>344</v>
      </c>
      <c r="E57" s="53">
        <v>6</v>
      </c>
      <c r="F57" s="53">
        <v>15021</v>
      </c>
      <c r="G57" s="53">
        <v>54.260253910000003</v>
      </c>
      <c r="H57" s="53">
        <v>-69.669448849999995</v>
      </c>
      <c r="I57" s="53">
        <v>0.413483769</v>
      </c>
      <c r="J57" s="53">
        <v>541.9921875</v>
      </c>
      <c r="K57" s="53">
        <v>-137.3291016</v>
      </c>
      <c r="L57" s="53">
        <v>123.9297028</v>
      </c>
    </row>
    <row r="58" spans="1:15">
      <c r="A58" s="56" t="s">
        <v>90</v>
      </c>
      <c r="B58" s="52">
        <v>63555</v>
      </c>
      <c r="C58" s="19">
        <v>1566</v>
      </c>
      <c r="D58" s="53" t="s">
        <v>345</v>
      </c>
      <c r="E58" s="53">
        <v>10</v>
      </c>
      <c r="F58" s="53">
        <v>27021</v>
      </c>
      <c r="G58" s="53">
        <v>25.024414060000002</v>
      </c>
      <c r="H58" s="53">
        <v>-68.526786799999996</v>
      </c>
      <c r="I58" s="53">
        <v>0.156182662</v>
      </c>
      <c r="J58" s="53">
        <v>464.4775391</v>
      </c>
      <c r="K58" s="53">
        <v>-335.69335940000002</v>
      </c>
      <c r="L58" s="53">
        <v>93.551200870000002</v>
      </c>
    </row>
    <row r="59" spans="1:15">
      <c r="A59" s="57" t="s">
        <v>90</v>
      </c>
      <c r="B59" s="54">
        <v>63555</v>
      </c>
      <c r="C59">
        <v>1567</v>
      </c>
      <c r="D59" s="53" t="s">
        <v>346</v>
      </c>
      <c r="E59" s="53">
        <v>5</v>
      </c>
      <c r="F59" s="53">
        <v>12021</v>
      </c>
      <c r="G59" s="53">
        <v>49.285888669999999</v>
      </c>
      <c r="H59" s="53">
        <v>-64.7509613</v>
      </c>
      <c r="I59" s="53">
        <v>0.59986972800000005</v>
      </c>
      <c r="J59" s="53">
        <v>328.97949219999998</v>
      </c>
      <c r="K59" s="53">
        <v>-97.65625</v>
      </c>
      <c r="L59" s="53">
        <v>114.03685</v>
      </c>
    </row>
    <row r="60" spans="1:15">
      <c r="A60" s="56" t="s">
        <v>69</v>
      </c>
      <c r="B60" s="52">
        <v>63556</v>
      </c>
      <c r="C60">
        <v>1568</v>
      </c>
      <c r="D60" s="53" t="s">
        <v>347</v>
      </c>
      <c r="E60" s="53">
        <v>4</v>
      </c>
      <c r="F60" s="53">
        <v>9021</v>
      </c>
      <c r="G60" s="53">
        <v>46.478271479999997</v>
      </c>
      <c r="H60" s="53">
        <v>-67.653457639999999</v>
      </c>
      <c r="I60" s="53">
        <v>0.58525812600000005</v>
      </c>
      <c r="J60" s="53">
        <v>353.39355469999998</v>
      </c>
      <c r="K60" s="53">
        <v>-86.059570309999998</v>
      </c>
      <c r="L60" s="53">
        <v>114.1317291</v>
      </c>
    </row>
    <row r="61" spans="1:15">
      <c r="A61" s="56" t="s">
        <v>69</v>
      </c>
      <c r="B61" s="52">
        <v>63556</v>
      </c>
      <c r="C61">
        <v>1569</v>
      </c>
      <c r="D61" s="53" t="s">
        <v>348</v>
      </c>
      <c r="E61" s="53">
        <v>6</v>
      </c>
      <c r="F61" s="53">
        <v>15021</v>
      </c>
      <c r="G61" s="53">
        <v>46.020507809999998</v>
      </c>
      <c r="H61" s="53">
        <v>-67.916954039999993</v>
      </c>
      <c r="I61" s="53">
        <v>0.75592106599999997</v>
      </c>
      <c r="J61" s="53">
        <v>295.41015629999998</v>
      </c>
      <c r="K61" s="53">
        <v>-77.514648440000002</v>
      </c>
      <c r="L61" s="53">
        <v>113.9374619</v>
      </c>
    </row>
    <row r="62" spans="1:15">
      <c r="A62" s="56" t="s">
        <v>44</v>
      </c>
      <c r="B62" s="52">
        <v>63556</v>
      </c>
      <c r="C62">
        <v>1570</v>
      </c>
      <c r="D62" s="53" t="s">
        <v>349</v>
      </c>
      <c r="E62" s="53">
        <v>5</v>
      </c>
      <c r="F62" s="53">
        <v>12021</v>
      </c>
      <c r="G62" s="53">
        <v>47.8515625</v>
      </c>
      <c r="H62" s="53">
        <v>-67.195533749999996</v>
      </c>
      <c r="I62" s="53">
        <v>0.40602168399999999</v>
      </c>
      <c r="J62" s="53">
        <v>476.07421879999998</v>
      </c>
      <c r="K62" s="53">
        <v>-111.08398440000001</v>
      </c>
      <c r="L62" s="53">
        <v>115.04709630000001</v>
      </c>
    </row>
    <row r="63" spans="1:15">
      <c r="A63" s="57" t="s">
        <v>44</v>
      </c>
      <c r="B63" s="54">
        <v>63556</v>
      </c>
      <c r="C63" s="58">
        <v>1571</v>
      </c>
      <c r="D63" s="53" t="s">
        <v>350</v>
      </c>
      <c r="E63" s="53">
        <v>2</v>
      </c>
      <c r="F63" s="53">
        <v>3021</v>
      </c>
      <c r="G63" s="53">
        <v>36.529541020000003</v>
      </c>
      <c r="H63" s="53">
        <v>-65.834968570000001</v>
      </c>
      <c r="I63" s="53">
        <v>1.0071790220000001</v>
      </c>
      <c r="J63" s="53">
        <v>257.56835940000002</v>
      </c>
      <c r="K63" s="53">
        <v>-51.26953125</v>
      </c>
      <c r="L63" s="53">
        <v>102.36450960000001</v>
      </c>
    </row>
    <row r="64" spans="1:15">
      <c r="A64" s="57" t="s">
        <v>44</v>
      </c>
      <c r="B64" s="54">
        <v>63557</v>
      </c>
      <c r="C64">
        <v>1572</v>
      </c>
      <c r="D64" s="53" t="s">
        <v>351</v>
      </c>
      <c r="E64" s="53">
        <v>4</v>
      </c>
      <c r="F64" s="53">
        <v>9021</v>
      </c>
      <c r="G64" s="53">
        <v>37.170410160000003</v>
      </c>
      <c r="H64" s="53">
        <v>-66.881202700000003</v>
      </c>
      <c r="I64" s="53">
        <v>0.45867934799999999</v>
      </c>
      <c r="J64" s="53">
        <v>365.6005859</v>
      </c>
      <c r="K64" s="53">
        <v>-109.8632813</v>
      </c>
      <c r="L64" s="53">
        <v>104.05161289999999</v>
      </c>
    </row>
    <row r="65" spans="1:12">
      <c r="A65" s="57" t="s">
        <v>69</v>
      </c>
      <c r="B65" s="54">
        <v>63547</v>
      </c>
      <c r="C65">
        <v>1573</v>
      </c>
      <c r="D65" s="53" t="s">
        <v>352</v>
      </c>
      <c r="E65" s="53">
        <v>1</v>
      </c>
      <c r="F65" s="53">
        <v>21</v>
      </c>
      <c r="G65" s="53">
        <v>48.919677729999997</v>
      </c>
      <c r="H65" s="53">
        <v>-62.003368379999998</v>
      </c>
      <c r="I65" s="53">
        <v>0.79215604100000003</v>
      </c>
      <c r="J65" s="53">
        <v>304.56542969999998</v>
      </c>
      <c r="K65" s="53">
        <v>-73.2421875</v>
      </c>
      <c r="L65" s="53">
        <v>110.92304609999999</v>
      </c>
    </row>
    <row r="66" spans="1:12">
      <c r="A66" s="56" t="s">
        <v>69</v>
      </c>
      <c r="B66" s="52">
        <v>63548</v>
      </c>
      <c r="C66">
        <v>1574</v>
      </c>
      <c r="D66" s="53" t="s">
        <v>353</v>
      </c>
      <c r="E66" s="53">
        <v>5</v>
      </c>
      <c r="F66" s="53">
        <v>12021</v>
      </c>
      <c r="G66" s="53">
        <v>53.802490229999997</v>
      </c>
      <c r="H66" s="53">
        <v>-69.153724670000003</v>
      </c>
      <c r="I66" s="53">
        <v>0.74344289299999999</v>
      </c>
      <c r="J66" s="53">
        <v>388.79394530000002</v>
      </c>
      <c r="K66" s="53">
        <v>-77.514648440000002</v>
      </c>
      <c r="L66" s="53">
        <v>122.95621490000001</v>
      </c>
    </row>
    <row r="67" spans="1:12">
      <c r="A67" s="56" t="s">
        <v>90</v>
      </c>
      <c r="B67" s="52">
        <v>63548</v>
      </c>
      <c r="C67" s="58">
        <v>1575</v>
      </c>
      <c r="D67" s="53" t="s">
        <v>354</v>
      </c>
      <c r="E67" s="53">
        <v>4</v>
      </c>
      <c r="F67" s="53">
        <v>9021</v>
      </c>
      <c r="G67" s="53">
        <v>46.813964839999997</v>
      </c>
      <c r="H67" s="53">
        <v>-68.330215449999997</v>
      </c>
      <c r="I67" s="53">
        <v>0.52931624700000002</v>
      </c>
      <c r="J67" s="53">
        <v>361.328125</v>
      </c>
      <c r="K67" s="53">
        <v>-115.96679690000001</v>
      </c>
      <c r="L67" s="53">
        <v>115.1441803</v>
      </c>
    </row>
    <row r="68" spans="1:12">
      <c r="A68" s="56" t="s">
        <v>69</v>
      </c>
      <c r="B68" s="52">
        <v>63548</v>
      </c>
      <c r="C68">
        <v>1576</v>
      </c>
      <c r="D68" s="53" t="s">
        <v>355</v>
      </c>
      <c r="E68" s="53">
        <v>8</v>
      </c>
      <c r="F68" s="53">
        <v>21021</v>
      </c>
      <c r="G68" s="53">
        <v>5.8898925780000004</v>
      </c>
      <c r="H68" s="53">
        <v>-69.544715879999998</v>
      </c>
      <c r="I68" s="53">
        <v>0.51050871600000003</v>
      </c>
      <c r="J68" s="53">
        <v>34.790039059999998</v>
      </c>
      <c r="K68" s="53">
        <v>-29.296875</v>
      </c>
      <c r="L68" s="53">
        <v>75.434608460000007</v>
      </c>
    </row>
    <row r="69" spans="1:12">
      <c r="A69" s="57" t="s">
        <v>90</v>
      </c>
      <c r="B69" s="54">
        <v>63548</v>
      </c>
      <c r="C69">
        <v>1577</v>
      </c>
      <c r="D69" s="53" t="s">
        <v>356</v>
      </c>
      <c r="E69" s="53">
        <v>2</v>
      </c>
      <c r="F69" s="53">
        <v>3021</v>
      </c>
      <c r="G69" s="53">
        <v>40.771484379999997</v>
      </c>
      <c r="H69" s="53">
        <v>-66.93031311</v>
      </c>
      <c r="I69" s="53">
        <v>0.35512819899999998</v>
      </c>
      <c r="J69" s="53">
        <v>431.51855469999998</v>
      </c>
      <c r="K69" s="53">
        <v>-130.61523439999999</v>
      </c>
      <c r="L69" s="53">
        <v>107.7017975</v>
      </c>
    </row>
    <row r="70" spans="1:12">
      <c r="A70" s="90" t="s">
        <v>44</v>
      </c>
      <c r="B70" s="90">
        <v>64063</v>
      </c>
      <c r="C70">
        <v>1578</v>
      </c>
      <c r="D70" s="83" t="s">
        <v>357</v>
      </c>
      <c r="E70" s="83">
        <v>3</v>
      </c>
      <c r="F70" s="83">
        <v>6021</v>
      </c>
      <c r="G70" s="83">
        <v>51.971440000000001</v>
      </c>
      <c r="H70" s="83">
        <v>-67.067800000000005</v>
      </c>
      <c r="I70" s="83">
        <v>0.44823800000000003</v>
      </c>
      <c r="J70" s="83">
        <v>564.5752</v>
      </c>
      <c r="K70" s="83">
        <v>-115.35599999999999</v>
      </c>
      <c r="L70" s="83">
        <v>119.03919999999999</v>
      </c>
    </row>
    <row r="71" spans="1:12">
      <c r="A71" s="91" t="s">
        <v>44</v>
      </c>
      <c r="B71" s="91">
        <v>64063</v>
      </c>
      <c r="C71">
        <v>1579</v>
      </c>
      <c r="D71" s="83" t="s">
        <v>358</v>
      </c>
      <c r="E71" s="83">
        <v>4</v>
      </c>
      <c r="F71" s="83">
        <v>9021</v>
      </c>
      <c r="G71" s="83">
        <v>54.290770000000002</v>
      </c>
      <c r="H71" s="83">
        <v>-69.679699999999997</v>
      </c>
      <c r="I71" s="83">
        <v>0.49934000000000001</v>
      </c>
      <c r="J71" s="83">
        <v>569.45799999999997</v>
      </c>
      <c r="K71" s="83">
        <v>-108.643</v>
      </c>
      <c r="L71" s="83">
        <v>123.9705</v>
      </c>
    </row>
    <row r="72" spans="1:12">
      <c r="A72" s="90" t="s">
        <v>44</v>
      </c>
      <c r="B72" s="90">
        <v>64064</v>
      </c>
      <c r="C72">
        <v>1580</v>
      </c>
      <c r="D72" s="83" t="s">
        <v>359</v>
      </c>
      <c r="E72" s="83">
        <v>3</v>
      </c>
      <c r="F72" s="83">
        <v>6021</v>
      </c>
      <c r="G72" s="83">
        <v>47.668460000000003</v>
      </c>
      <c r="H72" s="83">
        <v>-67.376499999999993</v>
      </c>
      <c r="I72" s="83">
        <v>0.479993</v>
      </c>
      <c r="J72" s="83">
        <v>567.01660000000004</v>
      </c>
      <c r="K72" s="83">
        <v>-108.032</v>
      </c>
      <c r="L72" s="83">
        <v>115.045</v>
      </c>
    </row>
    <row r="73" spans="1:12">
      <c r="A73" s="90" t="s">
        <v>44</v>
      </c>
      <c r="B73" s="90">
        <v>64064</v>
      </c>
      <c r="C73">
        <v>1581</v>
      </c>
      <c r="D73" s="83" t="s">
        <v>360</v>
      </c>
      <c r="E73" s="83">
        <v>5</v>
      </c>
      <c r="F73" s="83">
        <v>12021</v>
      </c>
      <c r="G73" s="83">
        <v>46.722410000000004</v>
      </c>
      <c r="H73" s="83">
        <v>-70.216200000000001</v>
      </c>
      <c r="I73" s="83">
        <v>0.43451099999999998</v>
      </c>
      <c r="J73" s="83">
        <v>567.01660000000004</v>
      </c>
      <c r="K73" s="83">
        <v>-106.20099999999999</v>
      </c>
      <c r="L73" s="83">
        <v>116.93859999999999</v>
      </c>
    </row>
    <row r="74" spans="1:12">
      <c r="A74" s="91" t="s">
        <v>90</v>
      </c>
      <c r="B74" s="91">
        <v>64064</v>
      </c>
      <c r="C74" s="19">
        <v>1582</v>
      </c>
      <c r="D74" s="83" t="s">
        <v>361</v>
      </c>
      <c r="E74" s="83">
        <v>3</v>
      </c>
      <c r="F74" s="83">
        <v>6021</v>
      </c>
      <c r="G74" s="83">
        <v>54.565429999999999</v>
      </c>
      <c r="H74" s="83">
        <v>-66.487499999999997</v>
      </c>
      <c r="I74" s="83">
        <v>0.49066799999999999</v>
      </c>
      <c r="J74" s="83">
        <v>347.29</v>
      </c>
      <c r="K74" s="83">
        <v>-110.474</v>
      </c>
      <c r="L74" s="83">
        <v>121.053</v>
      </c>
    </row>
    <row r="75" spans="1:12">
      <c r="A75" s="91" t="s">
        <v>44</v>
      </c>
      <c r="B75" s="91">
        <v>64055</v>
      </c>
      <c r="C75">
        <v>1583</v>
      </c>
      <c r="D75" s="83" t="s">
        <v>362</v>
      </c>
      <c r="E75" s="83">
        <v>7</v>
      </c>
      <c r="F75" s="83">
        <v>18021</v>
      </c>
      <c r="G75" s="83">
        <v>47.97363</v>
      </c>
      <c r="H75" s="83">
        <v>-70.921599999999998</v>
      </c>
      <c r="I75" s="83">
        <v>0.39646199999999998</v>
      </c>
      <c r="J75" s="83">
        <v>461.42579999999998</v>
      </c>
      <c r="K75" s="83">
        <v>-116.577</v>
      </c>
      <c r="L75" s="83">
        <v>118.8952</v>
      </c>
    </row>
    <row r="76" spans="1:12">
      <c r="A76" s="90" t="s">
        <v>44</v>
      </c>
      <c r="B76" s="90">
        <v>64056</v>
      </c>
      <c r="C76">
        <v>1584</v>
      </c>
      <c r="D76" s="83" t="s">
        <v>363</v>
      </c>
      <c r="E76" s="83">
        <v>10</v>
      </c>
      <c r="F76" s="83">
        <v>27021</v>
      </c>
      <c r="G76" s="83">
        <v>60.424799999999998</v>
      </c>
      <c r="H76" s="83">
        <v>-67.678299999999993</v>
      </c>
      <c r="I76" s="83">
        <v>0.41923199999999999</v>
      </c>
      <c r="J76" s="83">
        <v>479.73630000000003</v>
      </c>
      <c r="K76" s="83">
        <v>-162.35400000000001</v>
      </c>
      <c r="L76" s="83">
        <v>128.10310000000001</v>
      </c>
    </row>
    <row r="77" spans="1:12">
      <c r="A77" s="90" t="s">
        <v>69</v>
      </c>
      <c r="B77" s="90">
        <v>64056</v>
      </c>
      <c r="C77">
        <v>1585</v>
      </c>
      <c r="D77" s="83" t="s">
        <v>364</v>
      </c>
      <c r="E77" s="83">
        <v>4</v>
      </c>
      <c r="F77" s="83">
        <v>9021</v>
      </c>
      <c r="G77" s="83">
        <v>40.771479999999997</v>
      </c>
      <c r="H77" s="83">
        <v>-68.009399999999999</v>
      </c>
      <c r="I77" s="83">
        <v>0.77611300000000005</v>
      </c>
      <c r="J77" s="83">
        <v>374.7559</v>
      </c>
      <c r="K77" s="83">
        <v>-65.307599999999994</v>
      </c>
      <c r="L77" s="83">
        <v>108.7809</v>
      </c>
    </row>
    <row r="78" spans="1:12">
      <c r="A78" s="90" t="s">
        <v>90</v>
      </c>
      <c r="B78" s="90">
        <v>64056</v>
      </c>
      <c r="C78">
        <v>1586</v>
      </c>
      <c r="D78" s="83" t="s">
        <v>365</v>
      </c>
      <c r="E78" s="83">
        <v>3</v>
      </c>
      <c r="F78" s="83">
        <v>6021</v>
      </c>
      <c r="G78" s="83">
        <v>50.353999999999999</v>
      </c>
      <c r="H78" s="83">
        <v>-67.542500000000004</v>
      </c>
      <c r="I78" s="83">
        <v>0.581874</v>
      </c>
      <c r="J78" s="83">
        <v>456.54300000000001</v>
      </c>
      <c r="K78" s="83">
        <v>-102.539</v>
      </c>
      <c r="L78" s="83">
        <v>117.8965</v>
      </c>
    </row>
    <row r="79" spans="1:12">
      <c r="A79" s="91" t="s">
        <v>90</v>
      </c>
      <c r="B79" s="91">
        <v>64056</v>
      </c>
      <c r="C79">
        <v>1587</v>
      </c>
      <c r="D79" s="83" t="s">
        <v>366</v>
      </c>
      <c r="E79" s="83">
        <v>4</v>
      </c>
      <c r="F79" s="83">
        <v>9021</v>
      </c>
      <c r="G79" s="83">
        <v>43.334960000000002</v>
      </c>
      <c r="H79" s="83">
        <v>-71.716999999999999</v>
      </c>
      <c r="I79" s="83">
        <v>0.44350200000000001</v>
      </c>
      <c r="J79" s="83">
        <v>548.70609999999999</v>
      </c>
      <c r="K79" s="83">
        <v>-112.30500000000001</v>
      </c>
      <c r="L79" s="83">
        <v>115.0519</v>
      </c>
    </row>
    <row r="80" spans="1:12">
      <c r="A80" s="90" t="s">
        <v>90</v>
      </c>
      <c r="B80" s="90">
        <v>64065</v>
      </c>
      <c r="C80" s="19">
        <v>1588</v>
      </c>
      <c r="D80" s="83" t="s">
        <v>367</v>
      </c>
      <c r="E80" s="83">
        <v>2</v>
      </c>
      <c r="F80" s="83">
        <v>3021</v>
      </c>
      <c r="G80" s="83">
        <v>55.14526</v>
      </c>
      <c r="H80" s="83">
        <v>-67.789900000000003</v>
      </c>
      <c r="I80" s="83">
        <v>1.573061</v>
      </c>
      <c r="J80" s="83">
        <v>169.67769999999999</v>
      </c>
      <c r="K80" s="83">
        <v>-31.738299999999999</v>
      </c>
      <c r="L80" s="83">
        <v>122.93510000000001</v>
      </c>
    </row>
    <row r="81" spans="1:12">
      <c r="A81" s="90" t="s">
        <v>44</v>
      </c>
      <c r="B81" s="90">
        <v>64065</v>
      </c>
      <c r="C81">
        <v>1589</v>
      </c>
      <c r="D81" s="83" t="s">
        <v>368</v>
      </c>
      <c r="E81" s="83">
        <v>6</v>
      </c>
      <c r="F81" s="83">
        <v>15021</v>
      </c>
      <c r="G81" s="83">
        <v>65.582279999999997</v>
      </c>
      <c r="H81" s="83">
        <v>-68.191000000000003</v>
      </c>
      <c r="I81" s="83">
        <v>0.64750399999999997</v>
      </c>
      <c r="J81" s="83">
        <v>495.60550000000001</v>
      </c>
      <c r="K81" s="83">
        <v>-90.331999999999994</v>
      </c>
      <c r="L81" s="83">
        <v>133.77330000000001</v>
      </c>
    </row>
    <row r="82" spans="1:12">
      <c r="A82" s="91" t="s">
        <v>44</v>
      </c>
      <c r="B82" s="91">
        <v>64065</v>
      </c>
      <c r="C82">
        <v>1590</v>
      </c>
      <c r="D82" s="83" t="s">
        <v>369</v>
      </c>
      <c r="E82" s="83">
        <v>2</v>
      </c>
      <c r="F82" s="83">
        <v>3021</v>
      </c>
      <c r="G82" s="83">
        <v>47.760010000000001</v>
      </c>
      <c r="H82" s="83">
        <v>-69.173699999999997</v>
      </c>
      <c r="I82" s="83">
        <v>0.474213</v>
      </c>
      <c r="J82" s="83">
        <v>582.88570000000004</v>
      </c>
      <c r="K82" s="83">
        <v>-96.435500000000005</v>
      </c>
      <c r="L82" s="83">
        <v>116.9337</v>
      </c>
    </row>
    <row r="83" spans="1:12">
      <c r="A83" s="91" t="s">
        <v>69</v>
      </c>
      <c r="B83" s="91">
        <v>64066</v>
      </c>
      <c r="C83">
        <v>1591</v>
      </c>
      <c r="D83" s="83" t="s">
        <v>364</v>
      </c>
      <c r="E83" s="83">
        <v>4</v>
      </c>
      <c r="F83" s="83">
        <v>9021</v>
      </c>
      <c r="G83" s="83">
        <v>40.771479999999997</v>
      </c>
      <c r="H83" s="83">
        <v>-68.009399999999999</v>
      </c>
      <c r="I83" s="83">
        <v>0.77611300000000005</v>
      </c>
      <c r="J83" s="83">
        <v>374.7559</v>
      </c>
      <c r="K83" s="83">
        <v>-65.307599999999994</v>
      </c>
      <c r="L83" s="83">
        <v>108.7809</v>
      </c>
    </row>
    <row r="84" spans="1:12">
      <c r="A84" s="92" t="s">
        <v>44</v>
      </c>
      <c r="B84" s="92">
        <v>64059</v>
      </c>
      <c r="C84">
        <v>1592</v>
      </c>
      <c r="D84" s="83" t="s">
        <v>370</v>
      </c>
      <c r="E84" s="83">
        <v>8</v>
      </c>
      <c r="F84" s="83">
        <v>21021</v>
      </c>
      <c r="G84" s="83">
        <v>58.13599</v>
      </c>
      <c r="H84" s="83">
        <v>-68.289299999999997</v>
      </c>
      <c r="I84" s="83">
        <v>0.61414100000000005</v>
      </c>
      <c r="J84" s="83">
        <v>517.57809999999995</v>
      </c>
      <c r="K84" s="83">
        <v>-100.098</v>
      </c>
      <c r="L84" s="83">
        <v>126.42529999999999</v>
      </c>
    </row>
    <row r="85" spans="1:12">
      <c r="A85" s="92" t="s">
        <v>44</v>
      </c>
      <c r="B85" s="92">
        <v>64059</v>
      </c>
      <c r="C85">
        <v>1593</v>
      </c>
      <c r="D85" s="83" t="s">
        <v>371</v>
      </c>
      <c r="E85" s="83">
        <v>4</v>
      </c>
      <c r="F85" s="83">
        <v>9021</v>
      </c>
      <c r="G85" s="83">
        <v>60.394289999999998</v>
      </c>
      <c r="H85" s="83">
        <v>-67.684799999999996</v>
      </c>
      <c r="I85" s="83">
        <v>0.52322000000000002</v>
      </c>
      <c r="J85" s="83">
        <v>480.95699999999999</v>
      </c>
      <c r="K85" s="83">
        <v>-119.629</v>
      </c>
      <c r="L85" s="83">
        <v>128.07910000000001</v>
      </c>
    </row>
    <row r="86" spans="1:12">
      <c r="A86" s="93" t="s">
        <v>158</v>
      </c>
      <c r="B86" s="93">
        <v>64059</v>
      </c>
      <c r="C86" s="19">
        <v>1594</v>
      </c>
      <c r="D86" s="83" t="s">
        <v>372</v>
      </c>
      <c r="E86" s="83">
        <v>2</v>
      </c>
      <c r="F86" s="83">
        <v>3021</v>
      </c>
      <c r="G86" s="83">
        <v>40.496830000000003</v>
      </c>
      <c r="H86" s="83">
        <v>-73.097700000000003</v>
      </c>
      <c r="I86" s="83">
        <v>1.296921</v>
      </c>
      <c r="J86" s="83">
        <v>203.85740000000001</v>
      </c>
      <c r="K86" s="83">
        <v>-36.621099999999998</v>
      </c>
      <c r="L86" s="83">
        <v>113.5945</v>
      </c>
    </row>
    <row r="87" spans="1:12">
      <c r="A87" s="93" t="s">
        <v>44</v>
      </c>
      <c r="B87" s="93">
        <v>64060</v>
      </c>
      <c r="C87">
        <v>1595</v>
      </c>
      <c r="D87" s="83" t="s">
        <v>373</v>
      </c>
      <c r="E87" s="83">
        <v>4</v>
      </c>
      <c r="F87" s="83">
        <v>9021</v>
      </c>
      <c r="G87" s="83">
        <v>59.23462</v>
      </c>
      <c r="H87" s="83">
        <v>-68.571700000000007</v>
      </c>
      <c r="I87" s="83">
        <v>0.55319499999999999</v>
      </c>
      <c r="J87" s="83">
        <v>654.29690000000005</v>
      </c>
      <c r="K87" s="83">
        <v>-95.214799999999997</v>
      </c>
      <c r="L87" s="83">
        <v>127.80629999999999</v>
      </c>
    </row>
    <row r="88" spans="1:12">
      <c r="A88" s="92" t="s">
        <v>44</v>
      </c>
      <c r="B88" s="92">
        <v>64057</v>
      </c>
      <c r="C88">
        <v>1596</v>
      </c>
      <c r="D88" s="83" t="s">
        <v>374</v>
      </c>
      <c r="E88" s="83">
        <v>3</v>
      </c>
      <c r="F88" s="83">
        <v>6021</v>
      </c>
      <c r="G88" s="83">
        <v>56.182859999999998</v>
      </c>
      <c r="H88" s="83">
        <v>-68.558199999999999</v>
      </c>
      <c r="I88" s="83">
        <v>0.66672600000000004</v>
      </c>
      <c r="J88" s="83">
        <v>439.45310000000001</v>
      </c>
      <c r="K88" s="83">
        <v>-83.007800000000003</v>
      </c>
      <c r="L88" s="83">
        <v>124.741</v>
      </c>
    </row>
    <row r="89" spans="1:12">
      <c r="A89" s="93" t="s">
        <v>44</v>
      </c>
      <c r="B89" s="93">
        <v>64057</v>
      </c>
      <c r="C89">
        <v>1597</v>
      </c>
      <c r="D89" s="83" t="s">
        <v>375</v>
      </c>
      <c r="E89" s="83">
        <v>4</v>
      </c>
      <c r="F89" s="83">
        <v>9021</v>
      </c>
      <c r="G89" s="83">
        <v>46.356200000000001</v>
      </c>
      <c r="H89" s="83">
        <v>-69.905900000000003</v>
      </c>
      <c r="I89" s="83">
        <v>0.65162500000000001</v>
      </c>
      <c r="J89" s="83">
        <v>355.83499999999998</v>
      </c>
      <c r="K89" s="83">
        <v>-75.683599999999998</v>
      </c>
      <c r="L89" s="83">
        <v>116.2621</v>
      </c>
    </row>
    <row r="90" spans="1:12">
      <c r="A90" s="92" t="s">
        <v>44</v>
      </c>
      <c r="B90" s="92">
        <v>64058</v>
      </c>
      <c r="C90" s="19">
        <v>1598</v>
      </c>
      <c r="D90" s="83" t="s">
        <v>376</v>
      </c>
      <c r="E90" s="83">
        <v>2</v>
      </c>
      <c r="F90" s="83">
        <v>3021</v>
      </c>
      <c r="G90" s="83">
        <v>56.304929999999999</v>
      </c>
      <c r="H90" s="83">
        <v>-69.759900000000002</v>
      </c>
      <c r="I90" s="83">
        <v>1.3153060000000001</v>
      </c>
      <c r="J90" s="83">
        <v>343.01760000000002</v>
      </c>
      <c r="K90" s="83">
        <v>-43.335000000000001</v>
      </c>
      <c r="L90" s="83">
        <v>126.06480000000001</v>
      </c>
    </row>
    <row r="91" spans="1:12">
      <c r="A91" s="92" t="s">
        <v>44</v>
      </c>
      <c r="B91" s="92">
        <v>64058</v>
      </c>
      <c r="C91">
        <v>1599</v>
      </c>
      <c r="D91" s="83" t="s">
        <v>377</v>
      </c>
      <c r="E91" s="83">
        <v>4</v>
      </c>
      <c r="F91" s="83">
        <v>9021</v>
      </c>
      <c r="G91" s="83">
        <v>53.375239999999998</v>
      </c>
      <c r="H91" s="83">
        <v>-67.970699999999994</v>
      </c>
      <c r="I91" s="83">
        <v>1.262934</v>
      </c>
      <c r="J91" s="83">
        <v>291.74799999999999</v>
      </c>
      <c r="K91" s="83">
        <v>-39.672899999999998</v>
      </c>
      <c r="L91" s="83">
        <v>121.346</v>
      </c>
    </row>
    <row r="92" spans="1:12">
      <c r="A92" s="93" t="s">
        <v>44</v>
      </c>
      <c r="B92" s="93">
        <v>64058</v>
      </c>
      <c r="C92">
        <v>1600</v>
      </c>
      <c r="D92" s="83" t="s">
        <v>378</v>
      </c>
      <c r="E92" s="83">
        <v>5</v>
      </c>
      <c r="F92" s="83">
        <v>12021</v>
      </c>
      <c r="G92" s="83">
        <v>56.427</v>
      </c>
      <c r="H92" s="83">
        <v>-67.048599999999993</v>
      </c>
      <c r="I92" s="83">
        <v>1.266915</v>
      </c>
      <c r="J92" s="83">
        <v>332.03129999999999</v>
      </c>
      <c r="K92" s="83">
        <v>-38.452100000000002</v>
      </c>
      <c r="L92" s="83">
        <v>123.4756</v>
      </c>
    </row>
    <row r="93" spans="1:12">
      <c r="A93" s="92" t="s">
        <v>158</v>
      </c>
      <c r="B93" s="92">
        <v>64067</v>
      </c>
      <c r="C93">
        <v>1601</v>
      </c>
      <c r="D93" s="83" t="s">
        <v>379</v>
      </c>
      <c r="E93" s="83">
        <v>9</v>
      </c>
      <c r="F93" s="83">
        <v>24021</v>
      </c>
      <c r="G93" s="83">
        <v>75.958250000000007</v>
      </c>
      <c r="H93" s="83">
        <v>-67.269199999999998</v>
      </c>
      <c r="I93" s="83">
        <v>2.3474300000000001</v>
      </c>
      <c r="J93" s="83">
        <v>219.72659999999999</v>
      </c>
      <c r="K93" s="83">
        <v>-28.686499999999999</v>
      </c>
      <c r="L93" s="83">
        <v>143.22739999999999</v>
      </c>
    </row>
    <row r="94" spans="1:12">
      <c r="A94" s="93" t="s">
        <v>69</v>
      </c>
      <c r="B94" s="93">
        <v>64067</v>
      </c>
      <c r="C94">
        <v>1602</v>
      </c>
      <c r="D94" s="83" t="s">
        <v>380</v>
      </c>
      <c r="E94" s="83">
        <v>6</v>
      </c>
      <c r="F94" s="83">
        <v>15021</v>
      </c>
      <c r="G94" s="83">
        <v>49.255369999999999</v>
      </c>
      <c r="H94" s="83">
        <v>-67.148399999999995</v>
      </c>
      <c r="I94" s="83">
        <v>0.59928899999999996</v>
      </c>
      <c r="J94" s="83">
        <v>299.07229999999998</v>
      </c>
      <c r="K94" s="83">
        <v>-79.956100000000006</v>
      </c>
      <c r="L94" s="83">
        <v>116.4037</v>
      </c>
    </row>
    <row r="95" spans="1:12">
      <c r="A95" s="92" t="s">
        <v>69</v>
      </c>
      <c r="B95" s="92">
        <v>64068</v>
      </c>
      <c r="C95">
        <v>1603</v>
      </c>
      <c r="D95" s="83" t="s">
        <v>381</v>
      </c>
      <c r="E95" s="83">
        <v>6</v>
      </c>
      <c r="F95" s="83">
        <v>15021</v>
      </c>
      <c r="G95" s="83">
        <v>56.09131</v>
      </c>
      <c r="H95" s="83">
        <v>-69.535300000000007</v>
      </c>
      <c r="I95" s="83">
        <v>0.84043699999999999</v>
      </c>
      <c r="J95" s="83">
        <v>335.08300000000003</v>
      </c>
      <c r="K95" s="83">
        <v>-57.372999999999998</v>
      </c>
      <c r="L95" s="83">
        <v>125.6266</v>
      </c>
    </row>
    <row r="96" spans="1:12">
      <c r="A96" s="93" t="s">
        <v>69</v>
      </c>
      <c r="B96" s="93">
        <v>64068</v>
      </c>
      <c r="C96">
        <v>1604</v>
      </c>
      <c r="D96" s="83" t="s">
        <v>382</v>
      </c>
      <c r="E96" s="83">
        <v>5</v>
      </c>
      <c r="F96" s="83">
        <v>12021</v>
      </c>
      <c r="G96" s="83">
        <v>57.891849999999998</v>
      </c>
      <c r="H96" s="83">
        <v>-67.519900000000007</v>
      </c>
      <c r="I96" s="83">
        <v>0.96484300000000001</v>
      </c>
      <c r="J96" s="83">
        <v>396.1182</v>
      </c>
      <c r="K96" s="83">
        <v>-55.542000000000002</v>
      </c>
      <c r="L96" s="83">
        <v>125.4118</v>
      </c>
    </row>
    <row r="97" spans="1:12">
      <c r="A97" s="92" t="s">
        <v>90</v>
      </c>
      <c r="B97" s="92">
        <v>64061</v>
      </c>
      <c r="C97">
        <v>1605</v>
      </c>
      <c r="D97" s="83" t="s">
        <v>383</v>
      </c>
      <c r="E97" s="83">
        <v>2</v>
      </c>
      <c r="F97" s="83">
        <v>3021</v>
      </c>
      <c r="G97" s="83">
        <v>48.645020000000002</v>
      </c>
      <c r="H97" s="83">
        <v>-65.449299999999994</v>
      </c>
      <c r="I97" s="83">
        <v>0.67925599999999997</v>
      </c>
      <c r="J97" s="83">
        <v>286.86520000000002</v>
      </c>
      <c r="K97" s="83">
        <v>-64.0869</v>
      </c>
      <c r="L97" s="83">
        <v>114.0943</v>
      </c>
    </row>
    <row r="98" spans="1:12">
      <c r="A98" s="92" t="s">
        <v>44</v>
      </c>
      <c r="B98" s="92">
        <v>64061</v>
      </c>
      <c r="C98">
        <v>1606</v>
      </c>
      <c r="D98" s="83" t="s">
        <v>384</v>
      </c>
      <c r="E98" s="83">
        <v>6</v>
      </c>
      <c r="F98" s="83">
        <v>15021</v>
      </c>
      <c r="G98" s="83">
        <v>46.173099999999998</v>
      </c>
      <c r="H98" s="83">
        <v>-69.157499999999999</v>
      </c>
      <c r="I98" s="83">
        <v>0.65257699999999996</v>
      </c>
      <c r="J98" s="83">
        <v>384.5215</v>
      </c>
      <c r="K98" s="83">
        <v>-78.735399999999998</v>
      </c>
      <c r="L98" s="83">
        <v>115.3306</v>
      </c>
    </row>
    <row r="99" spans="1:12">
      <c r="A99" s="93" t="s">
        <v>90</v>
      </c>
      <c r="B99" s="93">
        <v>64061</v>
      </c>
      <c r="C99">
        <v>1607</v>
      </c>
      <c r="D99" s="83" t="s">
        <v>385</v>
      </c>
      <c r="E99" s="83">
        <v>5</v>
      </c>
      <c r="F99" s="83">
        <v>12021</v>
      </c>
      <c r="G99" s="83">
        <v>49.652099999999997</v>
      </c>
      <c r="H99" s="83">
        <v>-71.6143</v>
      </c>
      <c r="I99" s="83">
        <v>0.67147699999999999</v>
      </c>
      <c r="J99" s="83">
        <v>286.86520000000002</v>
      </c>
      <c r="K99" s="83">
        <v>-66.528300000000002</v>
      </c>
      <c r="L99" s="83">
        <v>121.2664</v>
      </c>
    </row>
    <row r="100" spans="1:12">
      <c r="A100" s="92" t="s">
        <v>90</v>
      </c>
      <c r="B100" s="92">
        <v>64062</v>
      </c>
      <c r="C100">
        <v>1608</v>
      </c>
      <c r="D100" s="83" t="s">
        <v>386</v>
      </c>
      <c r="E100" s="83">
        <v>5</v>
      </c>
      <c r="F100" s="83">
        <v>12021</v>
      </c>
      <c r="G100" s="83">
        <v>57.464599999999997</v>
      </c>
      <c r="H100" s="83">
        <v>-67.552000000000007</v>
      </c>
      <c r="I100" s="83">
        <v>0.63207400000000002</v>
      </c>
      <c r="J100" s="83">
        <v>410.15629999999999</v>
      </c>
      <c r="K100" s="83">
        <v>-82.397499999999994</v>
      </c>
      <c r="L100" s="83">
        <v>125.0166</v>
      </c>
    </row>
    <row r="101" spans="1:12">
      <c r="A101" s="92" t="s">
        <v>44</v>
      </c>
      <c r="B101" s="92">
        <v>64062</v>
      </c>
      <c r="C101">
        <v>1609</v>
      </c>
      <c r="D101" s="83" t="s">
        <v>387</v>
      </c>
      <c r="E101" s="83">
        <v>3</v>
      </c>
      <c r="F101" s="83">
        <v>6021</v>
      </c>
      <c r="G101" s="83">
        <v>34.881590000000003</v>
      </c>
      <c r="H101" s="83">
        <v>-71.632000000000005</v>
      </c>
      <c r="I101" s="83">
        <v>0.60184000000000004</v>
      </c>
      <c r="J101" s="83">
        <v>297.85160000000002</v>
      </c>
      <c r="K101" s="83">
        <v>-65.918000000000006</v>
      </c>
      <c r="L101" s="83">
        <v>106.51349999999999</v>
      </c>
    </row>
    <row r="102" spans="1:12">
      <c r="A102" s="93" t="s">
        <v>90</v>
      </c>
      <c r="B102" s="93">
        <v>64062</v>
      </c>
      <c r="C102" s="19">
        <v>1610</v>
      </c>
      <c r="D102" s="83" t="s">
        <v>388</v>
      </c>
      <c r="E102" s="83">
        <v>1</v>
      </c>
      <c r="F102" s="83">
        <v>21</v>
      </c>
      <c r="G102" s="83">
        <v>38.177489999999999</v>
      </c>
      <c r="H102" s="83">
        <v>-68.896699999999996</v>
      </c>
      <c r="I102" s="83">
        <v>0.182922</v>
      </c>
      <c r="J102" s="83">
        <v>582.27539999999999</v>
      </c>
      <c r="K102" s="83">
        <v>-451.05</v>
      </c>
      <c r="L102" s="83">
        <v>107.0742</v>
      </c>
    </row>
    <row r="103" spans="1:12">
      <c r="A103" s="93" t="s">
        <v>158</v>
      </c>
      <c r="B103" s="93">
        <v>64061</v>
      </c>
      <c r="C103" s="19">
        <v>1611</v>
      </c>
      <c r="D103" s="83" t="s">
        <v>389</v>
      </c>
      <c r="E103" s="83">
        <v>2</v>
      </c>
      <c r="F103" s="83">
        <v>3021</v>
      </c>
      <c r="G103" s="83">
        <v>28.90015</v>
      </c>
      <c r="H103" s="83">
        <v>-66.428399999999996</v>
      </c>
      <c r="I103" s="83">
        <v>0.99875599999999998</v>
      </c>
      <c r="J103" s="83">
        <v>167.2363</v>
      </c>
      <c r="K103" s="83">
        <v>-29.296900000000001</v>
      </c>
      <c r="L103" s="83">
        <v>95.328590000000005</v>
      </c>
    </row>
    <row r="104" spans="1:12">
      <c r="A104" s="92" t="s">
        <v>90</v>
      </c>
      <c r="B104" s="92">
        <v>64062</v>
      </c>
      <c r="C104" s="19">
        <v>1612</v>
      </c>
      <c r="D104" s="83" t="s">
        <v>390</v>
      </c>
      <c r="E104" s="83">
        <v>9</v>
      </c>
      <c r="F104" s="83">
        <v>24021</v>
      </c>
      <c r="G104" s="83">
        <v>38.665770000000002</v>
      </c>
      <c r="H104" s="83">
        <v>-42.986800000000002</v>
      </c>
      <c r="I104" s="83">
        <v>0.88229100000000005</v>
      </c>
      <c r="J104" s="83">
        <v>262.45119999999997</v>
      </c>
      <c r="K104" s="83">
        <v>-68.969700000000003</v>
      </c>
      <c r="L104" s="83">
        <v>81.652550000000005</v>
      </c>
    </row>
    <row r="105" spans="1:12">
      <c r="A105" s="93" t="s">
        <v>44</v>
      </c>
      <c r="B105" s="93">
        <v>64062</v>
      </c>
      <c r="C105" s="19">
        <v>1613</v>
      </c>
      <c r="D105" s="83" t="s">
        <v>391</v>
      </c>
      <c r="E105" s="83">
        <v>2</v>
      </c>
      <c r="F105" s="83">
        <v>3021</v>
      </c>
      <c r="G105" s="83">
        <v>12.87842</v>
      </c>
      <c r="H105" s="83">
        <v>-86.518299999999996</v>
      </c>
      <c r="I105" s="83">
        <v>0.35805700000000001</v>
      </c>
      <c r="J105" s="83">
        <v>172.7295</v>
      </c>
      <c r="K105" s="83">
        <v>-59.204099999999997</v>
      </c>
      <c r="L105" s="83">
        <v>99.396699999999996</v>
      </c>
    </row>
    <row r="106" spans="1:12">
      <c r="A106" s="92" t="s">
        <v>69</v>
      </c>
      <c r="B106" s="92">
        <v>64069</v>
      </c>
      <c r="C106" s="19">
        <v>1614</v>
      </c>
      <c r="D106" s="83" t="s">
        <v>392</v>
      </c>
      <c r="E106" s="83">
        <v>4</v>
      </c>
      <c r="F106" s="83">
        <v>9021</v>
      </c>
      <c r="G106" s="83">
        <v>56.365969999999997</v>
      </c>
      <c r="H106" s="83">
        <v>-69.247299999999996</v>
      </c>
      <c r="I106" s="83">
        <v>0.585198</v>
      </c>
      <c r="J106" s="83">
        <v>404.05270000000002</v>
      </c>
      <c r="K106" s="83">
        <v>-84.838899999999995</v>
      </c>
      <c r="L106" s="83">
        <v>125.61320000000001</v>
      </c>
    </row>
    <row r="107" spans="1:12">
      <c r="A107" s="92" t="s">
        <v>90</v>
      </c>
      <c r="B107" s="92">
        <v>64069</v>
      </c>
      <c r="C107">
        <v>1615</v>
      </c>
      <c r="D107" s="83" t="s">
        <v>393</v>
      </c>
      <c r="E107" s="83">
        <v>2</v>
      </c>
      <c r="F107" s="83">
        <v>3021</v>
      </c>
      <c r="G107" s="83">
        <v>53.649900000000002</v>
      </c>
      <c r="H107" s="83">
        <v>-65.430400000000006</v>
      </c>
      <c r="I107" s="83">
        <v>0.42556699999999997</v>
      </c>
      <c r="J107" s="83">
        <v>621.94820000000004</v>
      </c>
      <c r="K107" s="83">
        <v>-112.91500000000001</v>
      </c>
      <c r="L107" s="83">
        <v>119.08029999999999</v>
      </c>
    </row>
    <row r="108" spans="1:12">
      <c r="A108" s="92" t="s">
        <v>90</v>
      </c>
      <c r="B108" s="92">
        <v>64069</v>
      </c>
      <c r="C108">
        <v>1616</v>
      </c>
      <c r="D108" s="83" t="s">
        <v>394</v>
      </c>
      <c r="E108" s="83">
        <v>4</v>
      </c>
      <c r="F108" s="83">
        <v>9021</v>
      </c>
      <c r="G108" s="83">
        <v>59.66187</v>
      </c>
      <c r="H108" s="83">
        <v>-70.339100000000002</v>
      </c>
      <c r="I108" s="83">
        <v>1.0817099999999999</v>
      </c>
      <c r="J108" s="83">
        <v>411.9873</v>
      </c>
      <c r="K108" s="83">
        <v>-53.1006</v>
      </c>
      <c r="L108" s="83">
        <v>130.0009</v>
      </c>
    </row>
    <row r="109" spans="1:12">
      <c r="A109" s="94" t="s">
        <v>90</v>
      </c>
      <c r="B109" s="93">
        <v>64069</v>
      </c>
      <c r="C109" s="19">
        <v>1617</v>
      </c>
      <c r="D109" s="83" t="s">
        <v>395</v>
      </c>
      <c r="E109" s="83">
        <v>3</v>
      </c>
      <c r="F109" s="83">
        <v>6021</v>
      </c>
      <c r="G109" s="83">
        <v>38.696289999999998</v>
      </c>
      <c r="H109" s="83">
        <v>-68.291200000000003</v>
      </c>
      <c r="I109" s="83">
        <v>0.70739099999999999</v>
      </c>
      <c r="J109" s="83">
        <v>332.03129999999999</v>
      </c>
      <c r="K109" s="83">
        <v>-72.631799999999998</v>
      </c>
      <c r="L109" s="83">
        <v>106.98739999999999</v>
      </c>
    </row>
    <row r="110" spans="1:12">
      <c r="A110" s="92" t="s">
        <v>90</v>
      </c>
      <c r="B110" s="92">
        <v>64070</v>
      </c>
      <c r="C110" s="19">
        <v>1618</v>
      </c>
      <c r="D110" s="83" t="s">
        <v>396</v>
      </c>
      <c r="E110" s="83">
        <v>5</v>
      </c>
      <c r="F110" s="83">
        <v>12021</v>
      </c>
      <c r="G110" s="83">
        <v>54.901119999999999</v>
      </c>
      <c r="H110" s="83">
        <v>-67.863900000000001</v>
      </c>
      <c r="I110" s="83">
        <v>1.2561640000000001</v>
      </c>
      <c r="J110" s="83">
        <v>269.77539999999999</v>
      </c>
      <c r="K110" s="83">
        <v>-43.335000000000001</v>
      </c>
      <c r="L110" s="83">
        <v>122.765</v>
      </c>
    </row>
    <row r="111" spans="1:12">
      <c r="A111" s="93" t="s">
        <v>90</v>
      </c>
      <c r="B111" s="93">
        <v>64070</v>
      </c>
      <c r="C111">
        <v>1619</v>
      </c>
      <c r="D111" s="83" t="s">
        <v>397</v>
      </c>
      <c r="E111" s="83">
        <v>3</v>
      </c>
      <c r="F111" s="83">
        <v>6021</v>
      </c>
      <c r="G111" s="83">
        <v>46.813960000000002</v>
      </c>
      <c r="H111" s="83">
        <v>-67.73</v>
      </c>
      <c r="I111" s="83">
        <v>0.37323000000000001</v>
      </c>
      <c r="J111" s="83">
        <v>516.96780000000001</v>
      </c>
      <c r="K111" s="83">
        <v>-114.136</v>
      </c>
      <c r="L111" s="83">
        <v>114.544</v>
      </c>
    </row>
    <row r="112" spans="1:12">
      <c r="A112" s="92" t="s">
        <v>90</v>
      </c>
      <c r="B112" s="92">
        <v>64290</v>
      </c>
      <c r="C112">
        <v>1620</v>
      </c>
      <c r="D112" s="83" t="s">
        <v>398</v>
      </c>
      <c r="E112" s="83">
        <v>4</v>
      </c>
      <c r="F112" s="83">
        <v>9021</v>
      </c>
      <c r="G112" s="83">
        <v>50.201419999999999</v>
      </c>
      <c r="H112" s="83">
        <v>-67.577600000000004</v>
      </c>
      <c r="I112" s="83">
        <v>0.48133999999999999</v>
      </c>
      <c r="J112" s="83">
        <v>417.48050000000001</v>
      </c>
      <c r="K112" s="83">
        <v>-102.539</v>
      </c>
      <c r="L112" s="83">
        <v>117.779</v>
      </c>
    </row>
    <row r="113" spans="1:12">
      <c r="A113" s="92" t="s">
        <v>44</v>
      </c>
      <c r="B113" s="92">
        <v>64290</v>
      </c>
      <c r="C113">
        <v>1621</v>
      </c>
      <c r="D113" s="83" t="s">
        <v>399</v>
      </c>
      <c r="E113" s="83">
        <v>4</v>
      </c>
      <c r="F113" s="83">
        <v>9021</v>
      </c>
      <c r="G113" s="83">
        <v>56.243899999999996</v>
      </c>
      <c r="H113" s="83">
        <v>-68.384799999999998</v>
      </c>
      <c r="I113" s="83">
        <v>0.61642699999999995</v>
      </c>
      <c r="J113" s="83">
        <v>380.24900000000002</v>
      </c>
      <c r="K113" s="83">
        <v>-87.280299999999997</v>
      </c>
      <c r="L113" s="83">
        <v>124.62869999999999</v>
      </c>
    </row>
    <row r="114" spans="1:12">
      <c r="A114" s="92" t="s">
        <v>90</v>
      </c>
      <c r="B114" s="92">
        <v>64290</v>
      </c>
      <c r="C114" s="19">
        <v>1622</v>
      </c>
      <c r="D114" s="83" t="s">
        <v>400</v>
      </c>
      <c r="E114" s="83">
        <v>5</v>
      </c>
      <c r="F114" s="83">
        <v>12021</v>
      </c>
      <c r="G114" s="83">
        <v>31.005859999999998</v>
      </c>
      <c r="H114" s="83">
        <v>-72.410799999999995</v>
      </c>
      <c r="I114" s="83">
        <v>0.22194700000000001</v>
      </c>
      <c r="J114" s="83">
        <v>339.9658</v>
      </c>
      <c r="K114" s="83">
        <v>-226.44</v>
      </c>
      <c r="L114" s="83">
        <v>103.41670000000001</v>
      </c>
    </row>
    <row r="115" spans="1:12">
      <c r="A115" s="92" t="s">
        <v>44</v>
      </c>
      <c r="B115" s="92">
        <v>64290</v>
      </c>
      <c r="C115">
        <v>1623</v>
      </c>
      <c r="D115" s="83" t="s">
        <v>401</v>
      </c>
      <c r="E115" s="83">
        <v>7</v>
      </c>
      <c r="F115" s="83">
        <v>18021</v>
      </c>
      <c r="G115" s="83">
        <v>60.485840000000003</v>
      </c>
      <c r="H115" s="83">
        <v>-69.040899999999993</v>
      </c>
      <c r="I115" s="83">
        <v>0.57319600000000004</v>
      </c>
      <c r="J115" s="83">
        <v>461.42579999999998</v>
      </c>
      <c r="K115" s="83">
        <v>-91.552700000000002</v>
      </c>
      <c r="L115" s="83">
        <v>129.52670000000001</v>
      </c>
    </row>
    <row r="116" spans="1:12">
      <c r="A116" s="93" t="s">
        <v>44</v>
      </c>
      <c r="B116" s="93">
        <v>64290</v>
      </c>
      <c r="C116">
        <v>1624</v>
      </c>
      <c r="D116" s="83" t="s">
        <v>402</v>
      </c>
      <c r="E116" s="83">
        <v>3</v>
      </c>
      <c r="F116" s="83">
        <v>6021</v>
      </c>
      <c r="G116" s="83">
        <v>58.349609999999998</v>
      </c>
      <c r="H116" s="83">
        <v>-66.705799999999996</v>
      </c>
      <c r="I116" s="83">
        <v>0.52215699999999998</v>
      </c>
      <c r="J116" s="83">
        <v>520.62990000000002</v>
      </c>
      <c r="K116" s="83">
        <v>-95.214799999999997</v>
      </c>
      <c r="L116" s="83">
        <v>125.05540000000001</v>
      </c>
    </row>
    <row r="117" spans="1:12">
      <c r="A117" s="92" t="s">
        <v>90</v>
      </c>
      <c r="B117" s="92">
        <v>64291</v>
      </c>
      <c r="C117" s="19">
        <v>1625</v>
      </c>
      <c r="D117" s="83" t="s">
        <v>402</v>
      </c>
      <c r="E117" s="83">
        <v>3</v>
      </c>
      <c r="F117" s="83">
        <v>6021</v>
      </c>
      <c r="G117" s="83">
        <v>58.349609999999998</v>
      </c>
      <c r="H117" s="83">
        <v>-66.705799999999996</v>
      </c>
      <c r="I117" s="83">
        <v>0.52215699999999998</v>
      </c>
      <c r="J117" s="83">
        <v>520.62990000000002</v>
      </c>
      <c r="K117" s="83">
        <v>-95.214799999999997</v>
      </c>
      <c r="L117" s="83">
        <v>125.05540000000001</v>
      </c>
    </row>
    <row r="118" spans="1:12">
      <c r="A118" s="92" t="s">
        <v>44</v>
      </c>
      <c r="B118" s="92">
        <v>64291</v>
      </c>
      <c r="C118">
        <v>1626</v>
      </c>
      <c r="D118" s="83" t="s">
        <v>403</v>
      </c>
      <c r="E118" s="83">
        <v>3</v>
      </c>
      <c r="F118" s="83">
        <v>6021</v>
      </c>
      <c r="G118" s="83">
        <v>60.089109999999998</v>
      </c>
      <c r="H118" s="83">
        <v>-67.567999999999998</v>
      </c>
      <c r="I118" s="83">
        <v>0.65787799999999996</v>
      </c>
      <c r="J118" s="83">
        <v>348.51069999999999</v>
      </c>
      <c r="K118" s="83">
        <v>-106.20099999999999</v>
      </c>
      <c r="L118" s="83">
        <v>127.6571</v>
      </c>
    </row>
    <row r="119" spans="1:12">
      <c r="A119" s="93" t="s">
        <v>90</v>
      </c>
      <c r="B119" s="93">
        <v>64291</v>
      </c>
      <c r="C119">
        <v>1627</v>
      </c>
      <c r="D119" s="83" t="s">
        <v>404</v>
      </c>
      <c r="E119" s="83">
        <v>3</v>
      </c>
      <c r="F119" s="83">
        <v>6021</v>
      </c>
      <c r="G119" s="83">
        <v>46.020510000000002</v>
      </c>
      <c r="H119" s="83">
        <v>-69.695899999999995</v>
      </c>
      <c r="I119" s="83">
        <v>1.274778</v>
      </c>
      <c r="J119" s="83">
        <v>209.96090000000001</v>
      </c>
      <c r="K119" s="83">
        <v>-36.0107</v>
      </c>
      <c r="L119" s="83">
        <v>115.71639999999999</v>
      </c>
    </row>
    <row r="120" spans="1:12">
      <c r="A120" s="92" t="s">
        <v>44</v>
      </c>
      <c r="B120" s="92">
        <v>64282</v>
      </c>
      <c r="C120">
        <v>1628</v>
      </c>
      <c r="D120" s="83" t="s">
        <v>405</v>
      </c>
      <c r="E120" s="83">
        <v>5</v>
      </c>
      <c r="F120" s="83">
        <v>12021</v>
      </c>
      <c r="G120" s="83">
        <v>57.128909999999998</v>
      </c>
      <c r="H120" s="83">
        <v>-64.325599999999994</v>
      </c>
      <c r="I120" s="83">
        <v>0.66329000000000005</v>
      </c>
      <c r="J120" s="83">
        <v>413.20800000000003</v>
      </c>
      <c r="K120" s="83">
        <v>-90.331999999999994</v>
      </c>
      <c r="L120" s="83">
        <v>121.4545</v>
      </c>
    </row>
    <row r="121" spans="1:12">
      <c r="A121" s="93" t="s">
        <v>90</v>
      </c>
      <c r="B121" s="93">
        <v>64282</v>
      </c>
      <c r="C121" s="19">
        <v>1629</v>
      </c>
      <c r="D121" s="83" t="s">
        <v>406</v>
      </c>
      <c r="E121" s="83">
        <v>1</v>
      </c>
      <c r="F121" s="83">
        <v>21</v>
      </c>
      <c r="G121" s="83">
        <v>42.846679999999999</v>
      </c>
      <c r="H121" s="83">
        <v>-66.990300000000005</v>
      </c>
      <c r="I121" s="83">
        <v>0.16975799999999999</v>
      </c>
      <c r="J121" s="83">
        <v>584.10640000000001</v>
      </c>
      <c r="K121" s="83">
        <v>-455.322</v>
      </c>
      <c r="L121" s="83">
        <v>109.837</v>
      </c>
    </row>
    <row r="122" spans="1:12">
      <c r="A122" s="92" t="s">
        <v>90</v>
      </c>
      <c r="B122" s="92">
        <v>64283</v>
      </c>
      <c r="C122">
        <v>1630</v>
      </c>
      <c r="D122" s="83" t="s">
        <v>407</v>
      </c>
      <c r="E122" s="83">
        <v>3</v>
      </c>
      <c r="F122" s="83">
        <v>6021</v>
      </c>
      <c r="G122" s="83">
        <v>52.948</v>
      </c>
      <c r="H122" s="83">
        <v>-67.405600000000007</v>
      </c>
      <c r="I122" s="83">
        <v>0.54786299999999999</v>
      </c>
      <c r="J122" s="83">
        <v>467.52929999999998</v>
      </c>
      <c r="K122" s="83">
        <v>-97.656300000000002</v>
      </c>
      <c r="L122" s="83">
        <v>120.3536</v>
      </c>
    </row>
    <row r="123" spans="1:12">
      <c r="A123" s="95" t="s">
        <v>90</v>
      </c>
      <c r="B123" s="92">
        <v>64283</v>
      </c>
      <c r="C123">
        <v>1631</v>
      </c>
      <c r="D123" s="83" t="s">
        <v>408</v>
      </c>
      <c r="E123" s="83">
        <v>4</v>
      </c>
      <c r="F123" s="83">
        <v>9021</v>
      </c>
      <c r="G123" s="83">
        <v>46.53931</v>
      </c>
      <c r="H123" s="83">
        <v>-66.000100000000003</v>
      </c>
      <c r="I123" s="83">
        <v>0.93681599999999998</v>
      </c>
      <c r="J123" s="83">
        <v>264.89260000000002</v>
      </c>
      <c r="K123" s="83">
        <v>-54.321300000000001</v>
      </c>
      <c r="L123" s="83">
        <v>112.5394</v>
      </c>
    </row>
    <row r="124" spans="1:12">
      <c r="A124" s="93" t="s">
        <v>90</v>
      </c>
      <c r="B124" s="93">
        <v>64283</v>
      </c>
      <c r="C124">
        <v>1632</v>
      </c>
      <c r="D124" s="83" t="s">
        <v>409</v>
      </c>
      <c r="E124" s="83">
        <v>6</v>
      </c>
      <c r="F124" s="83">
        <v>15021</v>
      </c>
      <c r="G124" s="83">
        <v>52.764890000000001</v>
      </c>
      <c r="H124" s="83">
        <v>-58.787100000000002</v>
      </c>
      <c r="I124" s="83">
        <v>0.44532300000000002</v>
      </c>
      <c r="J124" s="83">
        <v>524.90229999999997</v>
      </c>
      <c r="K124" s="83">
        <v>-101.929</v>
      </c>
      <c r="L124" s="83">
        <v>111.55200000000001</v>
      </c>
    </row>
    <row r="125" spans="1:12">
      <c r="A125" s="93" t="s">
        <v>69</v>
      </c>
      <c r="B125" s="93">
        <v>64292</v>
      </c>
      <c r="C125" s="19">
        <v>1633</v>
      </c>
      <c r="D125" s="83" t="s">
        <v>410</v>
      </c>
      <c r="E125" s="83">
        <v>3</v>
      </c>
      <c r="F125" s="83">
        <v>6021</v>
      </c>
      <c r="G125" s="83">
        <v>44.464109999999998</v>
      </c>
      <c r="H125" s="83">
        <v>-65.527299999999997</v>
      </c>
      <c r="I125" s="83">
        <v>0.66582699999999995</v>
      </c>
      <c r="J125" s="83">
        <v>352.17290000000003</v>
      </c>
      <c r="K125" s="83">
        <v>-90.942400000000006</v>
      </c>
      <c r="L125" s="83">
        <v>109.9914</v>
      </c>
    </row>
    <row r="126" spans="1:12">
      <c r="A126" s="92" t="s">
        <v>90</v>
      </c>
      <c r="B126" s="92">
        <v>64293</v>
      </c>
      <c r="C126">
        <v>1634</v>
      </c>
      <c r="D126" s="83" t="s">
        <v>411</v>
      </c>
      <c r="E126" s="83">
        <v>5</v>
      </c>
      <c r="F126" s="83">
        <v>12021</v>
      </c>
      <c r="G126" s="83">
        <v>49.926760000000002</v>
      </c>
      <c r="H126" s="83">
        <v>-68.280900000000003</v>
      </c>
      <c r="I126" s="83">
        <v>0.61496499999999998</v>
      </c>
      <c r="J126" s="83">
        <v>367.4316</v>
      </c>
      <c r="K126" s="83">
        <v>-87.890600000000006</v>
      </c>
      <c r="L126" s="83">
        <v>118.2077</v>
      </c>
    </row>
    <row r="127" spans="1:12">
      <c r="A127" s="93" t="s">
        <v>90</v>
      </c>
      <c r="B127" s="93">
        <v>64293</v>
      </c>
      <c r="C127">
        <v>1635</v>
      </c>
      <c r="D127" s="83" t="s">
        <v>412</v>
      </c>
      <c r="E127" s="83">
        <v>3</v>
      </c>
      <c r="F127" s="83">
        <v>6021</v>
      </c>
      <c r="G127" s="83">
        <v>22.857669999999999</v>
      </c>
      <c r="H127" s="83">
        <v>-68.831599999999995</v>
      </c>
      <c r="I127" s="83">
        <v>0.234844</v>
      </c>
      <c r="J127" s="83">
        <v>292.96879999999999</v>
      </c>
      <c r="K127" s="83">
        <v>-186.15700000000001</v>
      </c>
      <c r="L127" s="83">
        <v>91.689269999999993</v>
      </c>
    </row>
    <row r="128" spans="1:12">
      <c r="A128" s="92" t="s">
        <v>90</v>
      </c>
      <c r="B128" s="92">
        <v>64284</v>
      </c>
      <c r="C128">
        <v>1636</v>
      </c>
      <c r="D128" s="83" t="s">
        <v>413</v>
      </c>
      <c r="E128" s="83">
        <v>3</v>
      </c>
      <c r="F128" s="83">
        <v>6021</v>
      </c>
      <c r="G128" s="83">
        <v>44.433590000000002</v>
      </c>
      <c r="H128" s="83">
        <v>-66.1751</v>
      </c>
      <c r="I128" s="83">
        <v>0.55402700000000005</v>
      </c>
      <c r="J128" s="83">
        <v>422.36329999999998</v>
      </c>
      <c r="K128" s="83">
        <v>-90.331999999999994</v>
      </c>
      <c r="L128" s="83">
        <v>110.6087</v>
      </c>
    </row>
    <row r="129" spans="1:12">
      <c r="A129" s="92" t="s">
        <v>90</v>
      </c>
      <c r="B129" s="92">
        <v>64284</v>
      </c>
      <c r="C129">
        <v>1637</v>
      </c>
      <c r="D129" s="83" t="s">
        <v>414</v>
      </c>
      <c r="E129" s="83">
        <v>2</v>
      </c>
      <c r="F129" s="83">
        <v>3021</v>
      </c>
      <c r="G129" s="83">
        <v>53.680419999999998</v>
      </c>
      <c r="H129" s="83">
        <v>-67.635599999999997</v>
      </c>
      <c r="I129" s="83">
        <v>0.48855999999999999</v>
      </c>
      <c r="J129" s="83">
        <v>495.60550000000001</v>
      </c>
      <c r="K129" s="83">
        <v>-133.05699999999999</v>
      </c>
      <c r="L129" s="83">
        <v>121.31610000000001</v>
      </c>
    </row>
    <row r="130" spans="1:12">
      <c r="A130" s="92" t="s">
        <v>90</v>
      </c>
      <c r="B130" s="92">
        <v>64284</v>
      </c>
      <c r="C130">
        <v>1638</v>
      </c>
      <c r="D130" s="83" t="s">
        <v>415</v>
      </c>
      <c r="E130" s="83">
        <v>3</v>
      </c>
      <c r="F130" s="83">
        <v>6021</v>
      </c>
      <c r="G130" s="83">
        <v>38.879390000000001</v>
      </c>
      <c r="H130" s="83">
        <v>-65.350899999999996</v>
      </c>
      <c r="I130" s="83">
        <v>0.36202400000000001</v>
      </c>
      <c r="J130" s="83">
        <v>288.08589999999998</v>
      </c>
      <c r="K130" s="83">
        <v>-149.536</v>
      </c>
      <c r="L130" s="83">
        <v>104.2303</v>
      </c>
    </row>
    <row r="131" spans="1:12">
      <c r="A131" s="93" t="s">
        <v>44</v>
      </c>
      <c r="B131" s="93">
        <v>64284</v>
      </c>
      <c r="C131">
        <v>1639</v>
      </c>
      <c r="D131" s="83" t="s">
        <v>416</v>
      </c>
      <c r="E131" s="83">
        <v>5</v>
      </c>
      <c r="F131" s="83">
        <v>12021</v>
      </c>
      <c r="G131" s="83">
        <v>57.95288</v>
      </c>
      <c r="H131" s="83">
        <v>-67.004099999999994</v>
      </c>
      <c r="I131" s="83">
        <v>0.48076400000000002</v>
      </c>
      <c r="J131" s="83">
        <v>468.75</v>
      </c>
      <c r="K131" s="83">
        <v>-107.422</v>
      </c>
      <c r="L131" s="83">
        <v>124.95699999999999</v>
      </c>
    </row>
    <row r="132" spans="1:12">
      <c r="A132" s="93" t="s">
        <v>90</v>
      </c>
      <c r="B132" s="93">
        <v>64285</v>
      </c>
      <c r="C132">
        <v>1640</v>
      </c>
      <c r="D132" s="83" t="s">
        <v>417</v>
      </c>
      <c r="E132" s="83">
        <v>5</v>
      </c>
      <c r="F132" s="83">
        <v>12021</v>
      </c>
      <c r="G132" s="83">
        <v>38.452150000000003</v>
      </c>
      <c r="H132" s="83">
        <v>-66.611999999999995</v>
      </c>
      <c r="I132" s="83">
        <v>0.62233899999999998</v>
      </c>
      <c r="J132" s="83">
        <v>296.02050000000003</v>
      </c>
      <c r="K132" s="83">
        <v>-78.735399999999998</v>
      </c>
      <c r="L132" s="83">
        <v>105.0641</v>
      </c>
    </row>
    <row r="133" spans="1:12">
      <c r="A133" s="93" t="s">
        <v>44</v>
      </c>
      <c r="B133" s="93">
        <v>64284</v>
      </c>
      <c r="C133">
        <v>1641</v>
      </c>
      <c r="D133" s="83" t="s">
        <v>418</v>
      </c>
      <c r="E133" s="83">
        <v>3</v>
      </c>
      <c r="F133" s="83">
        <v>6021</v>
      </c>
      <c r="G133" s="83">
        <v>58.380130000000001</v>
      </c>
      <c r="H133" s="83">
        <v>-70.343100000000007</v>
      </c>
      <c r="I133" s="83">
        <v>0.48464000000000002</v>
      </c>
      <c r="J133" s="83">
        <v>720.21479999999997</v>
      </c>
      <c r="K133" s="83">
        <v>-115.967</v>
      </c>
      <c r="L133" s="83">
        <v>128.72319999999999</v>
      </c>
    </row>
    <row r="134" spans="1:12">
      <c r="A134" s="92" t="s">
        <v>90</v>
      </c>
      <c r="B134" s="92">
        <v>64285</v>
      </c>
      <c r="C134" s="19">
        <v>1642</v>
      </c>
      <c r="D134" s="83" t="s">
        <v>419</v>
      </c>
      <c r="E134" s="83">
        <v>2</v>
      </c>
      <c r="F134" s="83">
        <v>3021</v>
      </c>
      <c r="G134" s="83">
        <v>40.954590000000003</v>
      </c>
      <c r="H134" s="83">
        <v>-69.166200000000003</v>
      </c>
      <c r="I134" s="83">
        <v>0.63376299999999997</v>
      </c>
      <c r="J134" s="83">
        <v>321.04489999999998</v>
      </c>
      <c r="K134" s="83">
        <v>-86.669899999999998</v>
      </c>
      <c r="L134" s="83">
        <v>110.1208</v>
      </c>
    </row>
    <row r="135" spans="1:12">
      <c r="A135" s="92" t="s">
        <v>44</v>
      </c>
      <c r="B135" s="92">
        <v>64285</v>
      </c>
      <c r="C135" s="19">
        <v>1643</v>
      </c>
      <c r="D135" s="83" t="s">
        <v>420</v>
      </c>
      <c r="E135" s="83">
        <v>3</v>
      </c>
      <c r="F135" s="83">
        <v>6021</v>
      </c>
      <c r="G135" s="83">
        <v>63.507080000000002</v>
      </c>
      <c r="H135" s="83">
        <v>-68.3322</v>
      </c>
      <c r="I135" s="83">
        <v>0.54171199999999997</v>
      </c>
      <c r="J135" s="83">
        <v>520.01949999999999</v>
      </c>
      <c r="K135" s="83">
        <v>-122.07</v>
      </c>
      <c r="L135" s="83">
        <v>131.83920000000001</v>
      </c>
    </row>
    <row r="136" spans="1:12">
      <c r="A136" s="93" t="s">
        <v>44</v>
      </c>
      <c r="B136" s="93">
        <v>64285</v>
      </c>
      <c r="C136" s="19">
        <v>1644</v>
      </c>
      <c r="D136" s="83" t="s">
        <v>421</v>
      </c>
      <c r="E136" s="83">
        <v>5</v>
      </c>
      <c r="F136" s="83">
        <v>12021</v>
      </c>
      <c r="G136" s="83">
        <v>50.964359999999999</v>
      </c>
      <c r="H136" s="83">
        <v>-59.661000000000001</v>
      </c>
      <c r="I136" s="83">
        <v>0.47305000000000003</v>
      </c>
      <c r="J136" s="83">
        <v>460.20510000000002</v>
      </c>
      <c r="K136" s="83">
        <v>-117.188</v>
      </c>
      <c r="L136" s="83">
        <v>110.6254</v>
      </c>
    </row>
    <row r="137" spans="1:12">
      <c r="A137" s="92" t="s">
        <v>44</v>
      </c>
      <c r="B137" s="92">
        <v>64286</v>
      </c>
      <c r="C137">
        <v>1645</v>
      </c>
      <c r="D137" s="83" t="s">
        <v>422</v>
      </c>
      <c r="E137" s="83">
        <v>4</v>
      </c>
      <c r="F137" s="83">
        <v>9021</v>
      </c>
      <c r="G137" s="83">
        <v>45.80688</v>
      </c>
      <c r="H137" s="83">
        <v>-71.009600000000006</v>
      </c>
      <c r="I137" s="83">
        <v>0.37761400000000001</v>
      </c>
      <c r="J137" s="83">
        <v>504.15039999999999</v>
      </c>
      <c r="K137" s="83">
        <v>-113.52500000000001</v>
      </c>
      <c r="L137" s="83">
        <v>116.8165</v>
      </c>
    </row>
    <row r="138" spans="1:12">
      <c r="A138" s="92" t="s">
        <v>90</v>
      </c>
      <c r="B138" s="92">
        <v>64286</v>
      </c>
      <c r="C138" s="19">
        <v>1646</v>
      </c>
      <c r="D138" s="83" t="s">
        <v>423</v>
      </c>
      <c r="E138" s="83">
        <v>7</v>
      </c>
      <c r="F138" s="83">
        <v>18021</v>
      </c>
      <c r="G138" s="83">
        <v>36.651609999999998</v>
      </c>
      <c r="H138" s="83">
        <v>-70.182699999999997</v>
      </c>
      <c r="I138" s="83">
        <v>0.60441199999999995</v>
      </c>
      <c r="J138" s="83">
        <v>282.59280000000001</v>
      </c>
      <c r="K138" s="83">
        <v>-78.735399999999998</v>
      </c>
      <c r="L138" s="83">
        <v>106.8343</v>
      </c>
    </row>
    <row r="139" spans="1:12">
      <c r="A139" s="92" t="s">
        <v>44</v>
      </c>
      <c r="B139" s="92">
        <v>64286</v>
      </c>
      <c r="C139">
        <v>1647</v>
      </c>
      <c r="D139" s="83" t="s">
        <v>424</v>
      </c>
      <c r="E139" s="83">
        <v>7</v>
      </c>
      <c r="F139" s="83">
        <v>18021</v>
      </c>
      <c r="G139" s="83">
        <v>50.292969999999997</v>
      </c>
      <c r="H139" s="83">
        <v>-71.380200000000002</v>
      </c>
      <c r="I139" s="83">
        <v>0.39102500000000001</v>
      </c>
      <c r="J139" s="83">
        <v>586.54790000000003</v>
      </c>
      <c r="K139" s="83">
        <v>-140.99100000000001</v>
      </c>
      <c r="L139" s="83">
        <v>121.67319999999999</v>
      </c>
    </row>
    <row r="140" spans="1:12">
      <c r="A140" s="92" t="s">
        <v>44</v>
      </c>
      <c r="B140" s="92">
        <v>64286</v>
      </c>
      <c r="C140">
        <v>1648</v>
      </c>
      <c r="D140" s="83" t="s">
        <v>425</v>
      </c>
      <c r="E140" s="83">
        <v>3</v>
      </c>
      <c r="F140" s="83">
        <v>6021</v>
      </c>
      <c r="G140" s="83">
        <v>50.384520000000002</v>
      </c>
      <c r="H140" s="83">
        <v>-67.109499999999997</v>
      </c>
      <c r="I140" s="83">
        <v>0.53697399999999995</v>
      </c>
      <c r="J140" s="83">
        <v>324.70699999999999</v>
      </c>
      <c r="K140" s="83">
        <v>-89.721699999999998</v>
      </c>
      <c r="L140" s="83">
        <v>117.494</v>
      </c>
    </row>
    <row r="141" spans="1:12">
      <c r="A141" s="93" t="s">
        <v>90</v>
      </c>
      <c r="B141" s="93">
        <v>64286</v>
      </c>
      <c r="C141">
        <v>1649</v>
      </c>
      <c r="D141" s="83" t="s">
        <v>426</v>
      </c>
      <c r="E141" s="83">
        <v>9</v>
      </c>
      <c r="F141" s="83">
        <v>24021</v>
      </c>
      <c r="G141" s="83">
        <v>57.861330000000002</v>
      </c>
      <c r="H141" s="83">
        <v>-65.512</v>
      </c>
      <c r="I141" s="83">
        <v>0.49709900000000001</v>
      </c>
      <c r="J141" s="83">
        <v>592.65139999999997</v>
      </c>
      <c r="K141" s="83">
        <v>-121.46</v>
      </c>
      <c r="L141" s="83">
        <v>123.3733</v>
      </c>
    </row>
    <row r="142" spans="1:12">
      <c r="A142" s="92" t="s">
        <v>90</v>
      </c>
      <c r="B142" s="92">
        <v>64287</v>
      </c>
      <c r="C142">
        <v>1650</v>
      </c>
      <c r="D142" s="83" t="s">
        <v>427</v>
      </c>
      <c r="E142" s="83">
        <v>2</v>
      </c>
      <c r="F142" s="83">
        <v>3021</v>
      </c>
      <c r="G142" s="83">
        <v>56.915280000000003</v>
      </c>
      <c r="H142" s="83">
        <v>-69.638199999999998</v>
      </c>
      <c r="I142" s="83">
        <v>0.56528500000000004</v>
      </c>
      <c r="J142" s="83">
        <v>566.40629999999999</v>
      </c>
      <c r="K142" s="83">
        <v>-127.563</v>
      </c>
      <c r="L142" s="83">
        <v>126.5535</v>
      </c>
    </row>
    <row r="143" spans="1:12">
      <c r="A143" s="93" t="s">
        <v>90</v>
      </c>
      <c r="B143" s="93">
        <v>64287</v>
      </c>
      <c r="C143">
        <v>1651</v>
      </c>
      <c r="D143" s="83" t="s">
        <v>428</v>
      </c>
      <c r="E143" s="83">
        <v>3</v>
      </c>
      <c r="F143" s="83">
        <v>6021</v>
      </c>
      <c r="G143" s="83">
        <v>40.435789999999997</v>
      </c>
      <c r="H143" s="83">
        <v>-68.109200000000001</v>
      </c>
      <c r="I143" s="83">
        <v>0.53851700000000002</v>
      </c>
      <c r="J143" s="83">
        <v>339.9658</v>
      </c>
      <c r="K143" s="83">
        <v>-104.98</v>
      </c>
      <c r="L143" s="83">
        <v>108.545</v>
      </c>
    </row>
    <row r="144" spans="1:12">
      <c r="A144" s="92" t="s">
        <v>90</v>
      </c>
      <c r="B144" s="92">
        <v>64278</v>
      </c>
      <c r="C144">
        <v>1652</v>
      </c>
      <c r="D144" s="83" t="s">
        <v>429</v>
      </c>
      <c r="E144" s="83">
        <v>6</v>
      </c>
      <c r="F144" s="83">
        <v>15021</v>
      </c>
      <c r="G144" s="83">
        <v>45.257570000000001</v>
      </c>
      <c r="H144" s="83">
        <v>-70.051400000000001</v>
      </c>
      <c r="I144" s="83">
        <v>0.60475699999999999</v>
      </c>
      <c r="J144" s="83">
        <v>357.0557</v>
      </c>
      <c r="K144" s="83">
        <v>-85.449200000000005</v>
      </c>
      <c r="L144" s="83">
        <v>115.309</v>
      </c>
    </row>
    <row r="145" spans="1:12">
      <c r="A145" s="92" t="s">
        <v>90</v>
      </c>
      <c r="B145" s="92">
        <v>64278</v>
      </c>
      <c r="C145">
        <v>1653</v>
      </c>
      <c r="D145" s="83" t="s">
        <v>430</v>
      </c>
      <c r="E145" s="83">
        <v>5</v>
      </c>
      <c r="F145" s="83">
        <v>12021</v>
      </c>
      <c r="G145" s="83">
        <v>58.319090000000003</v>
      </c>
      <c r="H145" s="83">
        <v>-67.074200000000005</v>
      </c>
      <c r="I145" s="83">
        <v>0.64014899999999997</v>
      </c>
      <c r="J145" s="83">
        <v>445.5566</v>
      </c>
      <c r="K145" s="83">
        <v>-87.890600000000006</v>
      </c>
      <c r="L145" s="83">
        <v>125.3933</v>
      </c>
    </row>
    <row r="146" spans="1:12">
      <c r="A146" s="92" t="s">
        <v>90</v>
      </c>
      <c r="B146" s="92">
        <v>64278</v>
      </c>
      <c r="C146" s="19">
        <v>1654</v>
      </c>
      <c r="D146" s="83" t="s">
        <v>431</v>
      </c>
      <c r="E146" s="83">
        <v>2</v>
      </c>
      <c r="F146" s="83">
        <v>3021</v>
      </c>
      <c r="G146" s="83">
        <v>49.407960000000003</v>
      </c>
      <c r="H146" s="83">
        <v>-68.814499999999995</v>
      </c>
      <c r="I146" s="83">
        <v>0.63731700000000002</v>
      </c>
      <c r="J146" s="83">
        <v>302.12400000000002</v>
      </c>
      <c r="K146" s="83">
        <v>-89.721699999999998</v>
      </c>
      <c r="L146" s="83">
        <v>118.22239999999999</v>
      </c>
    </row>
    <row r="147" spans="1:12">
      <c r="A147" s="93" t="s">
        <v>158</v>
      </c>
      <c r="B147" s="93">
        <v>64278</v>
      </c>
      <c r="C147">
        <v>1655</v>
      </c>
      <c r="D147" s="83" t="s">
        <v>432</v>
      </c>
      <c r="E147" s="83">
        <v>4</v>
      </c>
      <c r="F147" s="83">
        <v>9021</v>
      </c>
      <c r="G147" s="83">
        <v>50.47607</v>
      </c>
      <c r="H147" s="83">
        <v>-70.127200000000002</v>
      </c>
      <c r="I147" s="83">
        <v>0.84984599999999999</v>
      </c>
      <c r="J147" s="83">
        <v>367.4316</v>
      </c>
      <c r="K147" s="83">
        <v>-61.645499999999998</v>
      </c>
      <c r="L147" s="83">
        <v>120.6033</v>
      </c>
    </row>
    <row r="148" spans="1:12">
      <c r="A148" s="92" t="s">
        <v>90</v>
      </c>
      <c r="B148" s="92">
        <v>64279</v>
      </c>
      <c r="C148">
        <v>1656</v>
      </c>
      <c r="D148" s="83" t="s">
        <v>433</v>
      </c>
      <c r="E148" s="83">
        <v>5</v>
      </c>
      <c r="F148" s="83">
        <v>12021</v>
      </c>
      <c r="G148" s="83">
        <v>54.534910000000004</v>
      </c>
      <c r="H148" s="83">
        <v>-68.597300000000004</v>
      </c>
      <c r="I148" s="83">
        <v>0.75575899999999996</v>
      </c>
      <c r="J148" s="83">
        <v>352.78320000000002</v>
      </c>
      <c r="K148" s="83">
        <v>-69.580100000000002</v>
      </c>
      <c r="L148" s="83">
        <v>123.1322</v>
      </c>
    </row>
    <row r="149" spans="1:12">
      <c r="A149" s="92" t="s">
        <v>90</v>
      </c>
      <c r="B149" s="92">
        <v>64279</v>
      </c>
      <c r="C149">
        <v>1657</v>
      </c>
      <c r="D149" s="83" t="s">
        <v>434</v>
      </c>
      <c r="E149" s="83">
        <v>3</v>
      </c>
      <c r="F149" s="83">
        <v>6021</v>
      </c>
      <c r="G149" s="83">
        <v>54.35181</v>
      </c>
      <c r="H149" s="83">
        <v>-69.578299999999999</v>
      </c>
      <c r="I149" s="83">
        <v>0.72989599999999999</v>
      </c>
      <c r="J149" s="83">
        <v>396.1182</v>
      </c>
      <c r="K149" s="83">
        <v>-72.021500000000003</v>
      </c>
      <c r="L149" s="83">
        <v>123.9301</v>
      </c>
    </row>
    <row r="150" spans="1:12">
      <c r="A150" s="92" t="s">
        <v>158</v>
      </c>
      <c r="B150" s="92">
        <v>64279</v>
      </c>
      <c r="C150" s="19">
        <v>1658</v>
      </c>
      <c r="D150" s="83" t="s">
        <v>435</v>
      </c>
      <c r="E150" s="83">
        <v>2</v>
      </c>
      <c r="F150" s="83">
        <v>3021</v>
      </c>
      <c r="G150" s="83">
        <v>29.35791</v>
      </c>
      <c r="H150" s="83">
        <v>-71.161900000000003</v>
      </c>
      <c r="I150" s="83">
        <v>1.1934880000000001</v>
      </c>
      <c r="J150" s="83">
        <v>161.7432</v>
      </c>
      <c r="K150" s="83">
        <v>-26.855499999999999</v>
      </c>
      <c r="L150" s="83">
        <v>100.5198</v>
      </c>
    </row>
    <row r="151" spans="1:12">
      <c r="A151" s="93" t="s">
        <v>90</v>
      </c>
      <c r="B151" s="93">
        <v>64279</v>
      </c>
      <c r="C151">
        <v>1659</v>
      </c>
      <c r="D151" s="83" t="s">
        <v>436</v>
      </c>
      <c r="E151" s="83">
        <v>5</v>
      </c>
      <c r="F151" s="83">
        <v>12021</v>
      </c>
      <c r="G151" s="83">
        <v>50.109859999999998</v>
      </c>
      <c r="H151" s="83">
        <v>-68.841899999999995</v>
      </c>
      <c r="I151" s="83">
        <v>0.54552100000000003</v>
      </c>
      <c r="J151" s="83">
        <v>391.84570000000002</v>
      </c>
      <c r="K151" s="83">
        <v>-103.76</v>
      </c>
      <c r="L151" s="83">
        <v>118.95180000000001</v>
      </c>
    </row>
    <row r="152" spans="1:12">
      <c r="A152" s="92" t="s">
        <v>90</v>
      </c>
      <c r="B152" s="92">
        <v>64288</v>
      </c>
      <c r="C152" s="19">
        <v>1660</v>
      </c>
      <c r="D152" s="83" t="s">
        <v>437</v>
      </c>
      <c r="E152" s="83">
        <v>5</v>
      </c>
      <c r="F152" s="83">
        <v>12021</v>
      </c>
      <c r="G152" s="83">
        <v>56.793210000000002</v>
      </c>
      <c r="H152" s="83">
        <v>-71.286100000000005</v>
      </c>
      <c r="I152" s="83">
        <v>0.57584800000000003</v>
      </c>
      <c r="J152" s="83">
        <v>506.59179999999998</v>
      </c>
      <c r="K152" s="83">
        <v>-96.435500000000005</v>
      </c>
      <c r="L152" s="83">
        <v>128.07929999999999</v>
      </c>
    </row>
    <row r="153" spans="1:12">
      <c r="A153" s="92" t="s">
        <v>90</v>
      </c>
      <c r="B153" s="92">
        <v>64288</v>
      </c>
      <c r="C153" s="19">
        <v>1661</v>
      </c>
      <c r="D153" s="83" t="s">
        <v>438</v>
      </c>
      <c r="E153" s="83">
        <v>5</v>
      </c>
      <c r="F153" s="83">
        <v>12021</v>
      </c>
      <c r="G153" s="83">
        <v>57.464599999999997</v>
      </c>
      <c r="H153" s="83">
        <v>-70.250900000000001</v>
      </c>
      <c r="I153" s="83">
        <v>0.53783499999999995</v>
      </c>
      <c r="J153" s="83">
        <v>504.15039999999999</v>
      </c>
      <c r="K153" s="83">
        <v>-97.045900000000003</v>
      </c>
      <c r="L153" s="83">
        <v>127.71550000000001</v>
      </c>
    </row>
    <row r="154" spans="1:12">
      <c r="A154" s="93" t="s">
        <v>90</v>
      </c>
      <c r="B154" s="93">
        <v>64288</v>
      </c>
      <c r="C154">
        <v>1662</v>
      </c>
      <c r="D154" s="83" t="s">
        <v>439</v>
      </c>
      <c r="E154" s="83">
        <v>2</v>
      </c>
      <c r="F154" s="83">
        <v>3021</v>
      </c>
      <c r="G154" s="83">
        <v>57.373049999999999</v>
      </c>
      <c r="H154" s="83">
        <v>-66.678799999999995</v>
      </c>
      <c r="I154" s="83">
        <v>0.46974300000000002</v>
      </c>
      <c r="J154" s="83">
        <v>698.85249999999996</v>
      </c>
      <c r="K154" s="83">
        <v>-114.746</v>
      </c>
      <c r="L154" s="83">
        <v>124.0519</v>
      </c>
    </row>
    <row r="155" spans="1:12">
      <c r="A155" s="92" t="s">
        <v>90</v>
      </c>
      <c r="B155" s="92">
        <v>64289</v>
      </c>
      <c r="C155" s="19">
        <v>1663</v>
      </c>
      <c r="D155" s="83" t="s">
        <v>440</v>
      </c>
      <c r="E155" s="83">
        <v>2</v>
      </c>
      <c r="F155" s="83">
        <v>3021</v>
      </c>
      <c r="G155" s="83">
        <v>42.63306</v>
      </c>
      <c r="H155" s="83">
        <v>-66.637299999999996</v>
      </c>
      <c r="I155" s="83">
        <v>0.49799300000000002</v>
      </c>
      <c r="J155" s="83">
        <v>341.18650000000002</v>
      </c>
      <c r="K155" s="83">
        <v>-97.045900000000003</v>
      </c>
      <c r="L155" s="83">
        <v>109.2704</v>
      </c>
    </row>
    <row r="156" spans="1:12">
      <c r="A156" s="92" t="s">
        <v>90</v>
      </c>
      <c r="B156" s="92">
        <v>64289</v>
      </c>
      <c r="C156">
        <v>1664</v>
      </c>
      <c r="D156" s="83" t="s">
        <v>441</v>
      </c>
      <c r="E156" s="83">
        <v>4</v>
      </c>
      <c r="F156" s="83">
        <v>9021</v>
      </c>
      <c r="G156" s="83">
        <v>48.583979999999997</v>
      </c>
      <c r="H156" s="83">
        <v>-66.058300000000003</v>
      </c>
      <c r="I156" s="83">
        <v>0.51597400000000004</v>
      </c>
      <c r="J156" s="83">
        <v>513.3057</v>
      </c>
      <c r="K156" s="83">
        <v>-117.188</v>
      </c>
      <c r="L156" s="83">
        <v>114.64230000000001</v>
      </c>
    </row>
    <row r="157" spans="1:12">
      <c r="A157" s="93" t="s">
        <v>90</v>
      </c>
      <c r="B157" s="93">
        <v>64289</v>
      </c>
      <c r="C157" s="19">
        <v>1665</v>
      </c>
      <c r="D157" s="83"/>
      <c r="E157" s="83" t="s">
        <v>442</v>
      </c>
      <c r="F157" s="96"/>
      <c r="G157" s="83"/>
      <c r="H157" s="83"/>
      <c r="I157" s="83"/>
      <c r="J157" s="83"/>
      <c r="K157" s="83"/>
      <c r="L157" s="83"/>
    </row>
    <row r="158" spans="1:12">
      <c r="A158" s="92" t="s">
        <v>44</v>
      </c>
      <c r="B158" s="92">
        <v>64280</v>
      </c>
      <c r="C158">
        <v>1666</v>
      </c>
      <c r="D158" s="83" t="s">
        <v>443</v>
      </c>
      <c r="E158" s="83">
        <v>4</v>
      </c>
      <c r="F158" s="83">
        <v>9021</v>
      </c>
      <c r="G158" s="83">
        <v>50.750729999999997</v>
      </c>
      <c r="H158" s="83">
        <v>-68.119500000000002</v>
      </c>
      <c r="I158" s="83">
        <v>0.587337</v>
      </c>
      <c r="J158" s="83">
        <v>549.31640000000004</v>
      </c>
      <c r="K158" s="83">
        <v>-84.838899999999995</v>
      </c>
      <c r="L158" s="83">
        <v>118.8703</v>
      </c>
    </row>
    <row r="159" spans="1:12">
      <c r="A159" s="92" t="s">
        <v>44</v>
      </c>
      <c r="B159" s="92">
        <v>64280</v>
      </c>
      <c r="C159">
        <v>1667</v>
      </c>
      <c r="D159" s="83" t="s">
        <v>444</v>
      </c>
      <c r="E159" s="83">
        <v>3</v>
      </c>
      <c r="F159" s="83">
        <v>6021</v>
      </c>
      <c r="G159" s="83">
        <v>52.917479999999998</v>
      </c>
      <c r="H159" s="83">
        <v>-70.444999999999993</v>
      </c>
      <c r="I159" s="83">
        <v>0.56277200000000005</v>
      </c>
      <c r="J159" s="83">
        <v>429.6875</v>
      </c>
      <c r="K159" s="83">
        <v>-81.787099999999995</v>
      </c>
      <c r="L159" s="83">
        <v>123.3625</v>
      </c>
    </row>
    <row r="160" spans="1:12">
      <c r="A160" s="92" t="s">
        <v>90</v>
      </c>
      <c r="B160" s="92">
        <v>64280</v>
      </c>
      <c r="C160">
        <v>1668</v>
      </c>
      <c r="D160" s="83" t="s">
        <v>445</v>
      </c>
      <c r="E160" s="83">
        <v>3</v>
      </c>
      <c r="F160" s="83">
        <v>6021</v>
      </c>
      <c r="G160" s="83">
        <v>44.586179999999999</v>
      </c>
      <c r="H160" s="83">
        <v>-71.268799999999999</v>
      </c>
      <c r="I160" s="83">
        <v>0.49186000000000002</v>
      </c>
      <c r="J160" s="83">
        <v>363.1592</v>
      </c>
      <c r="K160" s="83">
        <v>-119.629</v>
      </c>
      <c r="L160" s="83">
        <v>115.855</v>
      </c>
    </row>
    <row r="161" spans="1:12">
      <c r="A161" s="93" t="s">
        <v>90</v>
      </c>
      <c r="B161" s="93">
        <v>64280</v>
      </c>
      <c r="C161">
        <v>1669</v>
      </c>
      <c r="D161" s="83" t="s">
        <v>446</v>
      </c>
      <c r="E161" s="83">
        <v>4</v>
      </c>
      <c r="F161" s="83">
        <v>9021</v>
      </c>
      <c r="G161" s="83">
        <v>51.940919999999998</v>
      </c>
      <c r="H161" s="83">
        <v>-68.369900000000001</v>
      </c>
      <c r="I161" s="83">
        <v>0.57099900000000003</v>
      </c>
      <c r="J161" s="83">
        <v>434.57029999999997</v>
      </c>
      <c r="K161" s="83">
        <v>-90.942400000000006</v>
      </c>
      <c r="L161" s="83">
        <v>120.3109</v>
      </c>
    </row>
    <row r="162" spans="1:12" s="13" customFormat="1">
      <c r="A162" s="92" t="s">
        <v>90</v>
      </c>
      <c r="B162" s="92">
        <v>64281</v>
      </c>
      <c r="C162">
        <v>1670</v>
      </c>
      <c r="D162" s="83" t="s">
        <v>447</v>
      </c>
      <c r="E162" s="83">
        <v>6</v>
      </c>
      <c r="F162" s="83">
        <v>15021</v>
      </c>
      <c r="G162" s="83">
        <v>47.790529999999997</v>
      </c>
      <c r="H162" s="83">
        <v>-67.128699999999995</v>
      </c>
      <c r="I162" s="83">
        <v>0.53590700000000002</v>
      </c>
      <c r="J162" s="83">
        <v>369.87299999999999</v>
      </c>
      <c r="K162" s="83">
        <v>-111.084</v>
      </c>
      <c r="L162" s="83">
        <v>114.9192</v>
      </c>
    </row>
    <row r="163" spans="1:12">
      <c r="A163" s="92" t="s">
        <v>44</v>
      </c>
      <c r="B163" s="92">
        <v>64281</v>
      </c>
      <c r="C163">
        <v>1671</v>
      </c>
      <c r="D163" s="83" t="s">
        <v>448</v>
      </c>
      <c r="E163" s="83">
        <v>7</v>
      </c>
      <c r="F163" s="83">
        <v>18021</v>
      </c>
      <c r="G163" s="83">
        <v>57.617190000000001</v>
      </c>
      <c r="H163" s="83">
        <v>-70.443100000000001</v>
      </c>
      <c r="I163" s="83">
        <v>0.43530200000000002</v>
      </c>
      <c r="J163" s="83">
        <v>785.52250000000004</v>
      </c>
      <c r="K163" s="83">
        <v>-131.83600000000001</v>
      </c>
      <c r="L163" s="83">
        <v>128.06030000000001</v>
      </c>
    </row>
    <row r="164" spans="1:12">
      <c r="A164" s="92" t="s">
        <v>44</v>
      </c>
      <c r="B164" s="92">
        <v>64281</v>
      </c>
      <c r="C164">
        <v>1672</v>
      </c>
      <c r="D164" s="83" t="s">
        <v>449</v>
      </c>
      <c r="E164" s="83">
        <v>7</v>
      </c>
      <c r="F164" s="83">
        <v>18021</v>
      </c>
      <c r="G164" s="83">
        <v>50.994869999999999</v>
      </c>
      <c r="H164" s="83">
        <v>-67.313299999999998</v>
      </c>
      <c r="I164" s="83">
        <v>0.44367800000000002</v>
      </c>
      <c r="J164" s="83">
        <v>477.29489999999998</v>
      </c>
      <c r="K164" s="83">
        <v>-120.85</v>
      </c>
      <c r="L164" s="83">
        <v>118.3082</v>
      </c>
    </row>
    <row r="165" spans="1:12">
      <c r="A165" s="92" t="s">
        <v>90</v>
      </c>
      <c r="B165" s="92">
        <v>64281</v>
      </c>
      <c r="C165">
        <v>1673</v>
      </c>
      <c r="D165" s="83" t="s">
        <v>450</v>
      </c>
      <c r="E165" s="83">
        <v>2</v>
      </c>
      <c r="F165" s="83">
        <v>3021</v>
      </c>
      <c r="G165" s="83">
        <v>54.321289999999998</v>
      </c>
      <c r="H165" s="83">
        <v>-68.033100000000005</v>
      </c>
      <c r="I165" s="83">
        <v>0.45951900000000001</v>
      </c>
      <c r="J165" s="83">
        <v>491.9434</v>
      </c>
      <c r="K165" s="83">
        <v>-106.812</v>
      </c>
      <c r="L165" s="83">
        <v>122.3544</v>
      </c>
    </row>
    <row r="166" spans="1:12">
      <c r="A166" s="92" t="s">
        <v>44</v>
      </c>
      <c r="B166" s="92">
        <v>64281</v>
      </c>
      <c r="C166">
        <v>1674</v>
      </c>
      <c r="D166" s="83" t="s">
        <v>451</v>
      </c>
      <c r="E166" s="83">
        <v>4</v>
      </c>
      <c r="F166" s="83">
        <v>9021</v>
      </c>
      <c r="G166" s="83">
        <v>64.208979999999997</v>
      </c>
      <c r="H166" s="83">
        <v>-67.351900000000001</v>
      </c>
      <c r="I166" s="83">
        <v>0.46285100000000001</v>
      </c>
      <c r="J166" s="83">
        <v>606.07910000000004</v>
      </c>
      <c r="K166" s="83">
        <v>-126.953</v>
      </c>
      <c r="L166" s="83">
        <v>131.5609</v>
      </c>
    </row>
    <row r="167" spans="1:12">
      <c r="A167" s="92" t="s">
        <v>90</v>
      </c>
      <c r="B167" s="92">
        <v>64281</v>
      </c>
      <c r="C167">
        <v>1675</v>
      </c>
      <c r="D167" s="83" t="s">
        <v>452</v>
      </c>
      <c r="E167" s="83">
        <v>4</v>
      </c>
      <c r="F167" s="83">
        <v>9021</v>
      </c>
      <c r="G167" s="83">
        <v>51.727290000000004</v>
      </c>
      <c r="H167" s="83">
        <v>-67.276799999999994</v>
      </c>
      <c r="I167" s="83">
        <v>0.52448399999999995</v>
      </c>
      <c r="J167" s="83">
        <v>408.93549999999999</v>
      </c>
      <c r="K167" s="83">
        <v>-123.291</v>
      </c>
      <c r="L167" s="83">
        <v>119.00409999999999</v>
      </c>
    </row>
    <row r="170" spans="1:12">
      <c r="D170" t="s">
        <v>453</v>
      </c>
      <c r="G170">
        <f>AVERAGE(G13:G167)</f>
        <v>48.633129520267062</v>
      </c>
      <c r="I170">
        <f>AVERAGE(I13:I167)</f>
        <v>0.62373237271382109</v>
      </c>
      <c r="J170">
        <f>AVERAGE(J13:J167)</f>
        <v>409.97790142246748</v>
      </c>
      <c r="K170">
        <f>AVERAGE(K13:K167)</f>
        <v>-98.797695049366894</v>
      </c>
      <c r="L170">
        <f>AVERAGE(L13:L167)</f>
        <v>116.53836702273338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E2D7-D81E-436A-95E3-054742EF025C}">
  <sheetPr>
    <tabColor rgb="FFFF7C80"/>
  </sheetPr>
  <dimension ref="A1:W157"/>
  <sheetViews>
    <sheetView topLeftCell="B147" workbookViewId="0">
      <selection activeCell="H3" sqref="H3:H157"/>
    </sheetView>
  </sheetViews>
  <sheetFormatPr defaultRowHeight="15"/>
  <cols>
    <col min="1" max="1" width="11.42578125" bestFit="1" customWidth="1"/>
    <col min="2" max="2" width="9.5703125" bestFit="1" customWidth="1"/>
    <col min="6" max="6" width="20.28515625" bestFit="1" customWidth="1"/>
    <col min="7" max="7" width="18.7109375" bestFit="1" customWidth="1"/>
    <col min="11" max="11" width="18.85546875" bestFit="1" customWidth="1"/>
    <col min="12" max="12" width="19.28515625" bestFit="1" customWidth="1"/>
    <col min="16" max="16" width="10" bestFit="1" customWidth="1"/>
    <col min="17" max="17" width="13.140625" bestFit="1" customWidth="1"/>
    <col min="18" max="18" width="14.85546875" bestFit="1" customWidth="1"/>
    <col min="22" max="22" width="10" bestFit="1" customWidth="1"/>
  </cols>
  <sheetData>
    <row r="1" spans="1:23">
      <c r="A1" s="19" t="s">
        <v>454</v>
      </c>
      <c r="R1">
        <f>COUNT(R3:R488)</f>
        <v>154</v>
      </c>
      <c r="S1">
        <f>COUNT(S3:S488)</f>
        <v>132</v>
      </c>
    </row>
    <row r="2" spans="1:2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455</v>
      </c>
      <c r="L2" t="s">
        <v>456</v>
      </c>
      <c r="M2" t="s">
        <v>457</v>
      </c>
      <c r="P2" t="s">
        <v>458</v>
      </c>
      <c r="Q2" t="s">
        <v>459</v>
      </c>
      <c r="R2" t="s">
        <v>41</v>
      </c>
      <c r="S2" t="s">
        <v>460</v>
      </c>
      <c r="V2" t="s">
        <v>42</v>
      </c>
      <c r="W2" t="s">
        <v>43</v>
      </c>
    </row>
    <row r="3" spans="1:23">
      <c r="A3" s="2">
        <v>45979</v>
      </c>
      <c r="B3" t="s">
        <v>44</v>
      </c>
      <c r="C3">
        <v>63562</v>
      </c>
      <c r="D3">
        <v>1520</v>
      </c>
      <c r="E3" t="s">
        <v>298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>
        <v>-55.196163177490199</v>
      </c>
      <c r="M3">
        <v>-55.196163177490199</v>
      </c>
      <c r="Q3">
        <v>299.00000000003303</v>
      </c>
      <c r="R3">
        <v>-38.9404296875</v>
      </c>
      <c r="S3">
        <v>-38.9404296875</v>
      </c>
    </row>
    <row r="4" spans="1:23">
      <c r="A4" s="2">
        <v>45979</v>
      </c>
      <c r="B4" t="s">
        <v>44</v>
      </c>
      <c r="C4">
        <v>63562</v>
      </c>
      <c r="D4">
        <v>1521</v>
      </c>
      <c r="E4" t="s">
        <v>299</v>
      </c>
      <c r="F4" t="s">
        <v>46</v>
      </c>
      <c r="G4" t="s">
        <v>47</v>
      </c>
      <c r="H4" t="s">
        <v>48</v>
      </c>
      <c r="I4" t="s">
        <v>52</v>
      </c>
      <c r="J4" t="s">
        <v>50</v>
      </c>
      <c r="L4">
        <v>-54.4396362304687</v>
      </c>
      <c r="M4">
        <v>-54.4396362304687</v>
      </c>
      <c r="Q4">
        <v>299.00000000003303</v>
      </c>
      <c r="R4">
        <v>-36.80419921875</v>
      </c>
      <c r="S4">
        <v>-36.80419921875</v>
      </c>
    </row>
    <row r="5" spans="1:23">
      <c r="A5" s="2">
        <v>45979</v>
      </c>
      <c r="B5" t="s">
        <v>44</v>
      </c>
      <c r="C5">
        <v>63563</v>
      </c>
      <c r="D5">
        <v>1522</v>
      </c>
      <c r="E5" t="s">
        <v>300</v>
      </c>
      <c r="F5" t="s">
        <v>46</v>
      </c>
      <c r="G5" t="s">
        <v>47</v>
      </c>
      <c r="H5" t="s">
        <v>54</v>
      </c>
      <c r="I5" t="s">
        <v>55</v>
      </c>
      <c r="J5" t="s">
        <v>50</v>
      </c>
      <c r="L5">
        <v>-60.491744995117102</v>
      </c>
      <c r="M5">
        <v>-60.491744995117102</v>
      </c>
      <c r="Q5">
        <v>299.00000000003303</v>
      </c>
      <c r="R5">
        <v>-42.205810546875</v>
      </c>
      <c r="S5">
        <v>-42.205810546875</v>
      </c>
    </row>
    <row r="6" spans="1:23">
      <c r="A6" s="2">
        <v>45980</v>
      </c>
      <c r="B6" t="s">
        <v>44</v>
      </c>
      <c r="C6">
        <v>63564</v>
      </c>
      <c r="D6">
        <v>1523</v>
      </c>
      <c r="E6" t="s">
        <v>301</v>
      </c>
      <c r="F6" t="s">
        <v>46</v>
      </c>
      <c r="G6" t="s">
        <v>57</v>
      </c>
      <c r="H6" t="s">
        <v>54</v>
      </c>
      <c r="I6" t="s">
        <v>58</v>
      </c>
      <c r="J6" t="s">
        <v>50</v>
      </c>
      <c r="L6">
        <v>-65.214653015136705</v>
      </c>
      <c r="M6">
        <v>-65.214653015136705</v>
      </c>
      <c r="Q6">
        <v>298.900000000033</v>
      </c>
      <c r="R6">
        <v>-41.717529296875</v>
      </c>
      <c r="S6">
        <v>-41.717529296875</v>
      </c>
    </row>
    <row r="7" spans="1:23">
      <c r="A7" s="2">
        <v>45980</v>
      </c>
      <c r="B7" t="s">
        <v>44</v>
      </c>
      <c r="C7">
        <v>63564</v>
      </c>
      <c r="D7">
        <v>1524</v>
      </c>
      <c r="E7" t="s">
        <v>302</v>
      </c>
      <c r="F7" t="s">
        <v>46</v>
      </c>
      <c r="G7" t="s">
        <v>57</v>
      </c>
      <c r="H7" t="s">
        <v>54</v>
      </c>
      <c r="I7" t="s">
        <v>61</v>
      </c>
      <c r="J7" t="s">
        <v>50</v>
      </c>
      <c r="L7">
        <v>-60.138164520263601</v>
      </c>
      <c r="M7">
        <v>-60.138164520263601</v>
      </c>
      <c r="Q7">
        <v>298.95000000003301</v>
      </c>
      <c r="R7">
        <v>-43.9453125</v>
      </c>
      <c r="S7">
        <v>-43.9453125</v>
      </c>
    </row>
    <row r="8" spans="1:23">
      <c r="A8" s="2">
        <v>45980</v>
      </c>
      <c r="B8" t="s">
        <v>44</v>
      </c>
      <c r="C8">
        <v>63564</v>
      </c>
      <c r="D8">
        <v>1525</v>
      </c>
      <c r="E8" t="s">
        <v>303</v>
      </c>
      <c r="F8" t="s">
        <v>46</v>
      </c>
      <c r="G8" t="s">
        <v>57</v>
      </c>
      <c r="H8" t="s">
        <v>54</v>
      </c>
      <c r="J8" t="s">
        <v>50</v>
      </c>
      <c r="L8">
        <v>-64.690956115722599</v>
      </c>
      <c r="M8">
        <v>-64.690956115722599</v>
      </c>
      <c r="Q8">
        <v>298.95000000003301</v>
      </c>
      <c r="R8">
        <v>-38.6962890625</v>
      </c>
      <c r="S8">
        <v>-38.6962890625</v>
      </c>
    </row>
    <row r="9" spans="1:23">
      <c r="A9" s="2">
        <v>45980</v>
      </c>
      <c r="B9" t="s">
        <v>44</v>
      </c>
      <c r="C9">
        <v>63565</v>
      </c>
      <c r="D9">
        <v>1526</v>
      </c>
      <c r="E9" t="s">
        <v>304</v>
      </c>
      <c r="F9" t="s">
        <v>46</v>
      </c>
      <c r="G9" t="s">
        <v>57</v>
      </c>
      <c r="H9" t="s">
        <v>48</v>
      </c>
      <c r="J9" t="s">
        <v>50</v>
      </c>
      <c r="L9">
        <v>-56.795608520507798</v>
      </c>
      <c r="M9">
        <v>-56.795608520507798</v>
      </c>
      <c r="Q9">
        <v>299.00000000003303</v>
      </c>
      <c r="R9">
        <v>-47.2412109375</v>
      </c>
      <c r="S9">
        <v>-47.2412109375</v>
      </c>
    </row>
    <row r="10" spans="1:23">
      <c r="A10" s="2">
        <v>45981</v>
      </c>
      <c r="B10" t="s">
        <v>44</v>
      </c>
      <c r="C10">
        <v>63552</v>
      </c>
      <c r="D10">
        <v>1527</v>
      </c>
      <c r="E10" t="s">
        <v>305</v>
      </c>
      <c r="F10" t="s">
        <v>65</v>
      </c>
      <c r="G10" t="s">
        <v>57</v>
      </c>
      <c r="H10" t="s">
        <v>48</v>
      </c>
      <c r="J10" t="s">
        <v>50</v>
      </c>
      <c r="L10">
        <v>-64.213279724120994</v>
      </c>
      <c r="M10">
        <v>-64.213279724120994</v>
      </c>
      <c r="Q10">
        <v>298.95000000003301</v>
      </c>
      <c r="R10">
        <v>-42.999267578125</v>
      </c>
      <c r="S10">
        <v>-42.999267578125</v>
      </c>
    </row>
    <row r="11" spans="1:23">
      <c r="A11" s="2">
        <v>45981</v>
      </c>
      <c r="B11" t="s">
        <v>44</v>
      </c>
      <c r="C11">
        <v>63552</v>
      </c>
      <c r="D11">
        <v>1528</v>
      </c>
      <c r="E11" t="s">
        <v>306</v>
      </c>
      <c r="F11" t="s">
        <v>65</v>
      </c>
      <c r="G11" t="s">
        <v>57</v>
      </c>
      <c r="H11" t="s">
        <v>48</v>
      </c>
      <c r="I11" t="s">
        <v>66</v>
      </c>
      <c r="J11" t="s">
        <v>50</v>
      </c>
      <c r="L11">
        <v>-61.884849548339801</v>
      </c>
      <c r="M11">
        <v>-61.884849548339801</v>
      </c>
      <c r="Q11">
        <v>298.75000000003303</v>
      </c>
      <c r="R11">
        <v>-44.677734375</v>
      </c>
      <c r="S11">
        <v>-44.677734375</v>
      </c>
    </row>
    <row r="12" spans="1:23">
      <c r="A12" s="2">
        <v>45981</v>
      </c>
      <c r="B12" t="s">
        <v>44</v>
      </c>
      <c r="C12">
        <v>63553</v>
      </c>
      <c r="D12">
        <v>1529</v>
      </c>
      <c r="E12" t="s">
        <v>307</v>
      </c>
      <c r="F12" t="s">
        <v>65</v>
      </c>
      <c r="G12" t="s">
        <v>57</v>
      </c>
      <c r="H12" t="s">
        <v>54</v>
      </c>
      <c r="I12" t="s">
        <v>67</v>
      </c>
      <c r="J12" t="s">
        <v>50</v>
      </c>
      <c r="L12">
        <v>-64.257217407226506</v>
      </c>
      <c r="M12">
        <v>-64.257217407226506</v>
      </c>
      <c r="Q12">
        <v>298.650000000033</v>
      </c>
      <c r="R12">
        <v>-36.31591796875</v>
      </c>
      <c r="S12">
        <v>-36.31591796875</v>
      </c>
    </row>
    <row r="13" spans="1:23">
      <c r="A13" s="2">
        <v>45985</v>
      </c>
      <c r="B13" t="s">
        <v>44</v>
      </c>
      <c r="C13">
        <v>63550</v>
      </c>
      <c r="D13">
        <v>1530</v>
      </c>
      <c r="E13" t="s">
        <v>308</v>
      </c>
      <c r="F13" t="s">
        <v>65</v>
      </c>
      <c r="G13" t="s">
        <v>47</v>
      </c>
      <c r="H13" t="s">
        <v>54</v>
      </c>
      <c r="J13" t="s">
        <v>50</v>
      </c>
      <c r="L13">
        <v>-60.256893157958899</v>
      </c>
      <c r="M13">
        <v>-60.256893157958899</v>
      </c>
      <c r="Q13">
        <v>298.900000000033</v>
      </c>
      <c r="R13">
        <v>-37.4755859375</v>
      </c>
      <c r="S13">
        <v>-37.4755859375</v>
      </c>
      <c r="V13" t="str">
        <f>IF(TRIM(M13)="","Yes","No")</f>
        <v>No</v>
      </c>
    </row>
    <row r="14" spans="1:23" s="19" customFormat="1">
      <c r="A14" s="20">
        <v>45985</v>
      </c>
      <c r="B14" s="19" t="s">
        <v>69</v>
      </c>
      <c r="C14" s="19">
        <v>63550</v>
      </c>
      <c r="D14" s="19">
        <v>1531</v>
      </c>
      <c r="E14" s="19" t="s">
        <v>309</v>
      </c>
      <c r="F14" s="19" t="s">
        <v>65</v>
      </c>
      <c r="G14" s="19" t="s">
        <v>47</v>
      </c>
      <c r="H14" s="19" t="s">
        <v>54</v>
      </c>
      <c r="J14" s="19" t="s">
        <v>50</v>
      </c>
      <c r="L14" s="19">
        <v>-70.358444213867102</v>
      </c>
      <c r="Q14" s="19">
        <v>299.20000000003301</v>
      </c>
      <c r="R14" s="19">
        <v>-37.65869140625</v>
      </c>
      <c r="V14" s="19" t="s">
        <v>70</v>
      </c>
      <c r="W14" s="19" t="s">
        <v>71</v>
      </c>
    </row>
    <row r="15" spans="1:23">
      <c r="A15" s="2">
        <v>45985</v>
      </c>
      <c r="B15" t="s">
        <v>44</v>
      </c>
      <c r="C15">
        <v>63550</v>
      </c>
      <c r="D15">
        <v>1532</v>
      </c>
      <c r="E15" t="s">
        <v>311</v>
      </c>
      <c r="F15" t="s">
        <v>65</v>
      </c>
      <c r="G15" t="s">
        <v>47</v>
      </c>
      <c r="H15" t="s">
        <v>54</v>
      </c>
      <c r="I15" t="s">
        <v>73</v>
      </c>
      <c r="J15" t="s">
        <v>50</v>
      </c>
      <c r="L15">
        <v>-59.135204315185497</v>
      </c>
      <c r="M15">
        <v>-59.135204315185497</v>
      </c>
      <c r="Q15">
        <v>298.80000000003298</v>
      </c>
      <c r="R15">
        <v>-40.1611328125</v>
      </c>
      <c r="S15">
        <v>-40.1611328125</v>
      </c>
      <c r="V15" t="str">
        <f t="shared" ref="V15:V34" si="0">IF(TRIM(M15)="","Yes","No")</f>
        <v>No</v>
      </c>
    </row>
    <row r="16" spans="1:23" s="19" customFormat="1">
      <c r="A16" s="20">
        <v>45985</v>
      </c>
      <c r="B16" s="19" t="s">
        <v>69</v>
      </c>
      <c r="C16" s="19">
        <v>63550</v>
      </c>
      <c r="D16" s="19">
        <v>1533</v>
      </c>
      <c r="E16" s="19" t="s">
        <v>312</v>
      </c>
      <c r="F16" s="19" t="s">
        <v>65</v>
      </c>
      <c r="G16" s="19" t="s">
        <v>47</v>
      </c>
      <c r="H16" s="19" t="s">
        <v>54</v>
      </c>
      <c r="J16" s="19" t="s">
        <v>50</v>
      </c>
      <c r="L16" s="19">
        <v>-42.382492065429602</v>
      </c>
      <c r="M16" s="19" t="s">
        <v>461</v>
      </c>
      <c r="Q16" s="19">
        <v>298.85000000003299</v>
      </c>
      <c r="R16" s="19">
        <v>-42.510986328125</v>
      </c>
      <c r="S16" s="19" t="s">
        <v>461</v>
      </c>
      <c r="V16" s="19" t="str">
        <f t="shared" si="0"/>
        <v>Yes</v>
      </c>
      <c r="W16" s="19" t="s">
        <v>75</v>
      </c>
    </row>
    <row r="17" spans="1:23">
      <c r="A17" s="2">
        <v>45985</v>
      </c>
      <c r="B17" t="s">
        <v>44</v>
      </c>
      <c r="C17">
        <v>63551</v>
      </c>
      <c r="D17">
        <v>1534</v>
      </c>
      <c r="E17" t="s">
        <v>313</v>
      </c>
      <c r="F17" t="s">
        <v>65</v>
      </c>
      <c r="G17" t="s">
        <v>47</v>
      </c>
      <c r="H17" t="s">
        <v>48</v>
      </c>
      <c r="I17" t="s">
        <v>77</v>
      </c>
      <c r="J17" t="s">
        <v>50</v>
      </c>
      <c r="L17">
        <v>-56.8115425109863</v>
      </c>
      <c r="M17">
        <v>-56.8115425109863</v>
      </c>
      <c r="Q17">
        <v>298.95000000003301</v>
      </c>
      <c r="R17">
        <v>-40.191650390625</v>
      </c>
      <c r="S17">
        <v>-40.191650390625</v>
      </c>
      <c r="V17" t="str">
        <f t="shared" si="0"/>
        <v>No</v>
      </c>
    </row>
    <row r="18" spans="1:23" s="19" customFormat="1">
      <c r="A18" s="20">
        <v>46000</v>
      </c>
      <c r="B18" s="19" t="s">
        <v>69</v>
      </c>
      <c r="C18" s="19">
        <v>63542</v>
      </c>
      <c r="D18" s="19">
        <v>1536</v>
      </c>
      <c r="E18" s="19" t="s">
        <v>314</v>
      </c>
      <c r="F18" s="19" t="s">
        <v>65</v>
      </c>
      <c r="G18" s="19" t="s">
        <v>57</v>
      </c>
      <c r="H18" s="19" t="s">
        <v>48</v>
      </c>
      <c r="I18" s="19" t="s">
        <v>79</v>
      </c>
      <c r="J18" s="19" t="s">
        <v>80</v>
      </c>
      <c r="L18" s="19">
        <v>-66.048759460449205</v>
      </c>
      <c r="Q18" s="19">
        <v>299.05000000003298</v>
      </c>
      <c r="R18" s="19">
        <v>-50.4150390625</v>
      </c>
      <c r="V18" s="19" t="str">
        <f t="shared" si="0"/>
        <v>Yes</v>
      </c>
      <c r="W18" s="19" t="s">
        <v>80</v>
      </c>
    </row>
    <row r="19" spans="1:23">
      <c r="A19" s="2">
        <v>46000</v>
      </c>
      <c r="B19" t="s">
        <v>44</v>
      </c>
      <c r="C19">
        <v>63543</v>
      </c>
      <c r="D19">
        <v>1537</v>
      </c>
      <c r="E19" t="s">
        <v>316</v>
      </c>
      <c r="F19" t="s">
        <v>65</v>
      </c>
      <c r="G19" t="s">
        <v>57</v>
      </c>
      <c r="H19" t="s">
        <v>54</v>
      </c>
      <c r="I19" t="s">
        <v>81</v>
      </c>
      <c r="J19" t="s">
        <v>50</v>
      </c>
      <c r="L19">
        <v>-59.208274841308501</v>
      </c>
      <c r="M19">
        <v>-59.208274841308501</v>
      </c>
      <c r="Q19">
        <v>298.95000000003301</v>
      </c>
      <c r="R19">
        <v>-27.099609375</v>
      </c>
      <c r="S19">
        <v>-27.099609375</v>
      </c>
      <c r="V19" t="str">
        <f t="shared" si="0"/>
        <v>No</v>
      </c>
    </row>
    <row r="20" spans="1:23" s="19" customFormat="1">
      <c r="A20" s="20">
        <v>46000</v>
      </c>
      <c r="B20" s="19" t="s">
        <v>69</v>
      </c>
      <c r="C20" s="19">
        <v>63543</v>
      </c>
      <c r="D20" s="19">
        <v>1538</v>
      </c>
      <c r="E20" s="19" t="s">
        <v>317</v>
      </c>
      <c r="F20" s="19" t="s">
        <v>65</v>
      </c>
      <c r="G20" s="19" t="s">
        <v>57</v>
      </c>
      <c r="H20" s="19" t="s">
        <v>54</v>
      </c>
      <c r="I20" s="19" t="s">
        <v>83</v>
      </c>
      <c r="J20" s="19" t="s">
        <v>50</v>
      </c>
      <c r="L20" s="19">
        <v>-69.174057006835895</v>
      </c>
      <c r="Q20" s="19">
        <v>299.150000000033</v>
      </c>
      <c r="R20" s="19">
        <v>-47.088623046875</v>
      </c>
      <c r="V20" s="19" t="str">
        <f t="shared" si="0"/>
        <v>Yes</v>
      </c>
      <c r="W20" s="19" t="s">
        <v>80</v>
      </c>
    </row>
    <row r="21" spans="1:23">
      <c r="A21" s="2">
        <v>46000</v>
      </c>
      <c r="B21" t="s">
        <v>44</v>
      </c>
      <c r="C21">
        <v>63543</v>
      </c>
      <c r="D21">
        <v>1539</v>
      </c>
      <c r="E21" t="s">
        <v>318</v>
      </c>
      <c r="F21" t="s">
        <v>65</v>
      </c>
      <c r="G21" t="s">
        <v>57</v>
      </c>
      <c r="H21" t="s">
        <v>54</v>
      </c>
      <c r="I21" t="s">
        <v>85</v>
      </c>
      <c r="J21" t="s">
        <v>50</v>
      </c>
      <c r="L21">
        <v>-63.7976264953613</v>
      </c>
      <c r="M21">
        <v>-63.7976264953613</v>
      </c>
      <c r="Q21">
        <v>298.80000000003298</v>
      </c>
      <c r="R21">
        <v>-43.548583984375</v>
      </c>
      <c r="S21">
        <v>-43.548583984375</v>
      </c>
      <c r="V21" t="str">
        <f t="shared" si="0"/>
        <v>No</v>
      </c>
    </row>
    <row r="22" spans="1:23">
      <c r="A22" s="2">
        <v>46001</v>
      </c>
      <c r="B22" t="s">
        <v>69</v>
      </c>
      <c r="C22">
        <v>63558</v>
      </c>
      <c r="D22">
        <v>1540</v>
      </c>
      <c r="E22" t="s">
        <v>319</v>
      </c>
      <c r="F22" t="s">
        <v>46</v>
      </c>
      <c r="G22" t="s">
        <v>47</v>
      </c>
      <c r="H22" t="s">
        <v>54</v>
      </c>
      <c r="J22" t="s">
        <v>50</v>
      </c>
      <c r="L22">
        <v>-57.144802093505803</v>
      </c>
      <c r="M22">
        <v>-57.144802093505803</v>
      </c>
      <c r="Q22">
        <v>298.95000000003301</v>
      </c>
      <c r="R22">
        <v>-36.285400390625</v>
      </c>
      <c r="S22">
        <v>-36.285400390625</v>
      </c>
      <c r="V22" t="str">
        <f t="shared" si="0"/>
        <v>No</v>
      </c>
    </row>
    <row r="23" spans="1:23" s="19" customFormat="1">
      <c r="A23" s="20">
        <v>46001</v>
      </c>
      <c r="B23" s="19" t="s">
        <v>69</v>
      </c>
      <c r="C23" s="19">
        <v>63559</v>
      </c>
      <c r="D23" s="19">
        <v>1541</v>
      </c>
      <c r="E23" s="19" t="s">
        <v>320</v>
      </c>
      <c r="F23" s="19" t="s">
        <v>46</v>
      </c>
      <c r="G23" s="19" t="s">
        <v>47</v>
      </c>
      <c r="H23" s="19" t="s">
        <v>48</v>
      </c>
      <c r="I23" s="19" t="s">
        <v>88</v>
      </c>
      <c r="J23" s="19" t="s">
        <v>50</v>
      </c>
      <c r="L23" s="19">
        <v>-54.118686676025298</v>
      </c>
      <c r="M23" s="19">
        <v>-54.118686676025298</v>
      </c>
      <c r="Q23" s="19">
        <v>299.10000000003299</v>
      </c>
      <c r="R23" s="19">
        <v>-45.379638671875</v>
      </c>
      <c r="S23" s="19">
        <v>-45.379638671875</v>
      </c>
      <c r="V23" s="19" t="s">
        <v>70</v>
      </c>
      <c r="W23" s="19" t="s">
        <v>89</v>
      </c>
    </row>
    <row r="24" spans="1:23" s="19" customFormat="1">
      <c r="A24" s="20">
        <v>46001</v>
      </c>
      <c r="B24" s="19" t="s">
        <v>90</v>
      </c>
      <c r="C24" s="19">
        <v>63559</v>
      </c>
      <c r="D24" s="19">
        <v>1542</v>
      </c>
      <c r="E24" s="19" t="s">
        <v>321</v>
      </c>
      <c r="F24" s="19" t="s">
        <v>46</v>
      </c>
      <c r="G24" s="19" t="s">
        <v>47</v>
      </c>
      <c r="H24" s="19" t="s">
        <v>48</v>
      </c>
      <c r="J24" s="19" t="s">
        <v>50</v>
      </c>
      <c r="L24" s="19">
        <v>-32.476371765136697</v>
      </c>
      <c r="Q24" s="19">
        <v>297.55000000003298</v>
      </c>
      <c r="R24" s="19">
        <v>-30.09033203125</v>
      </c>
      <c r="V24" s="19" t="str">
        <f t="shared" si="0"/>
        <v>Yes</v>
      </c>
      <c r="W24" s="19" t="s">
        <v>89</v>
      </c>
    </row>
    <row r="25" spans="1:23">
      <c r="A25" s="2">
        <v>46002</v>
      </c>
      <c r="B25" t="s">
        <v>69</v>
      </c>
      <c r="C25">
        <v>63560</v>
      </c>
      <c r="D25">
        <v>1543</v>
      </c>
      <c r="E25" t="s">
        <v>323</v>
      </c>
      <c r="F25" t="s">
        <v>46</v>
      </c>
      <c r="G25" t="s">
        <v>57</v>
      </c>
      <c r="H25" t="s">
        <v>54</v>
      </c>
      <c r="I25" t="s">
        <v>94</v>
      </c>
      <c r="J25" t="s">
        <v>50</v>
      </c>
      <c r="L25">
        <v>-47.746295928955</v>
      </c>
      <c r="M25">
        <v>-47.746295928955</v>
      </c>
      <c r="Q25">
        <v>299.00000000003303</v>
      </c>
      <c r="R25">
        <v>-43.9453125</v>
      </c>
      <c r="S25">
        <v>-43.9453125</v>
      </c>
      <c r="V25" t="str">
        <f t="shared" si="0"/>
        <v>No</v>
      </c>
    </row>
    <row r="26" spans="1:23" s="19" customFormat="1">
      <c r="A26" s="20">
        <v>46002</v>
      </c>
      <c r="B26" s="19" t="s">
        <v>69</v>
      </c>
      <c r="C26" s="19">
        <v>63561</v>
      </c>
      <c r="D26" s="19">
        <v>1544</v>
      </c>
      <c r="E26" s="19" t="s">
        <v>324</v>
      </c>
      <c r="F26" s="19" t="s">
        <v>46</v>
      </c>
      <c r="G26" s="19" t="s">
        <v>57</v>
      </c>
      <c r="H26" s="19" t="s">
        <v>48</v>
      </c>
      <c r="I26" s="19" t="s">
        <v>96</v>
      </c>
      <c r="J26" s="19" t="s">
        <v>50</v>
      </c>
      <c r="L26" s="19">
        <v>-44.802642822265597</v>
      </c>
      <c r="M26" s="19">
        <v>-44.802642822265597</v>
      </c>
      <c r="Q26" s="19">
        <v>298.80000000003298</v>
      </c>
      <c r="R26" s="19">
        <v>-43.64013671875</v>
      </c>
      <c r="S26" s="19">
        <v>-43.64013671875</v>
      </c>
      <c r="V26" s="19" t="str">
        <f t="shared" si="0"/>
        <v>No</v>
      </c>
    </row>
    <row r="27" spans="1:23">
      <c r="A27" s="2">
        <v>46002</v>
      </c>
      <c r="B27" t="s">
        <v>44</v>
      </c>
      <c r="C27">
        <v>63561</v>
      </c>
      <c r="D27">
        <v>1545</v>
      </c>
      <c r="E27" t="s">
        <v>325</v>
      </c>
      <c r="F27" t="s">
        <v>46</v>
      </c>
      <c r="G27" t="s">
        <v>57</v>
      </c>
      <c r="H27" t="s">
        <v>48</v>
      </c>
      <c r="J27" t="s">
        <v>50</v>
      </c>
      <c r="L27">
        <v>-74.885505676269503</v>
      </c>
      <c r="M27">
        <v>-74.885505676269503</v>
      </c>
      <c r="Q27">
        <v>298.50000000003303</v>
      </c>
      <c r="R27">
        <v>-57.830810546875</v>
      </c>
      <c r="S27">
        <v>-57.830810546875</v>
      </c>
      <c r="V27" t="str">
        <f t="shared" si="0"/>
        <v>No</v>
      </c>
    </row>
    <row r="28" spans="1:23" s="19" customFormat="1">
      <c r="A28" s="20">
        <v>46002</v>
      </c>
      <c r="B28" s="19" t="s">
        <v>90</v>
      </c>
      <c r="C28" s="19">
        <v>63560</v>
      </c>
      <c r="D28" s="19">
        <v>1546</v>
      </c>
      <c r="E28" s="19" t="s">
        <v>326</v>
      </c>
      <c r="F28" s="19" t="s">
        <v>46</v>
      </c>
      <c r="G28" s="19" t="s">
        <v>57</v>
      </c>
      <c r="H28" s="19" t="s">
        <v>48</v>
      </c>
      <c r="L28" s="19">
        <v>-31.250228881835898</v>
      </c>
      <c r="M28" s="19" t="s">
        <v>461</v>
      </c>
      <c r="Q28" s="19">
        <v>298.55000000003298</v>
      </c>
      <c r="R28" s="19">
        <v>-44.952392578125</v>
      </c>
      <c r="S28" s="19" t="s">
        <v>461</v>
      </c>
      <c r="V28" s="19" t="str">
        <f t="shared" si="0"/>
        <v>Yes</v>
      </c>
      <c r="W28" s="19" t="s">
        <v>75</v>
      </c>
    </row>
    <row r="29" spans="1:23">
      <c r="A29" s="2">
        <v>46003</v>
      </c>
      <c r="B29" t="s">
        <v>44</v>
      </c>
      <c r="C29">
        <v>63544</v>
      </c>
      <c r="D29">
        <v>1547</v>
      </c>
      <c r="E29" t="s">
        <v>328</v>
      </c>
      <c r="F29" t="s">
        <v>65</v>
      </c>
      <c r="G29" t="s">
        <v>47</v>
      </c>
      <c r="H29" t="s">
        <v>54</v>
      </c>
      <c r="I29" t="s">
        <v>100</v>
      </c>
      <c r="J29" t="s">
        <v>50</v>
      </c>
      <c r="L29">
        <v>-54.801189422607401</v>
      </c>
      <c r="M29">
        <v>-54.801189422607401</v>
      </c>
      <c r="Q29">
        <v>298.85000000003299</v>
      </c>
      <c r="R29">
        <v>-37.59765625</v>
      </c>
      <c r="S29">
        <v>-37.59765625</v>
      </c>
      <c r="V29" t="str">
        <f t="shared" si="0"/>
        <v>No</v>
      </c>
    </row>
    <row r="30" spans="1:23" s="19" customFormat="1">
      <c r="A30" s="20">
        <v>46003</v>
      </c>
      <c r="B30" s="19" t="s">
        <v>101</v>
      </c>
      <c r="C30" s="19">
        <v>63544</v>
      </c>
      <c r="D30" s="19">
        <v>1548</v>
      </c>
      <c r="E30" s="19" t="s">
        <v>329</v>
      </c>
      <c r="F30" s="19" t="s">
        <v>65</v>
      </c>
      <c r="G30" s="19" t="s">
        <v>47</v>
      </c>
      <c r="H30" s="19" t="s">
        <v>54</v>
      </c>
      <c r="I30" s="19" t="s">
        <v>103</v>
      </c>
      <c r="J30" s="19" t="s">
        <v>50</v>
      </c>
      <c r="L30" s="19">
        <v>-18.1497592926025</v>
      </c>
      <c r="M30" s="19" t="s">
        <v>461</v>
      </c>
      <c r="Q30" s="19">
        <v>299.10000000003299</v>
      </c>
      <c r="R30" s="19">
        <v>-38.177490234375</v>
      </c>
      <c r="S30" s="19" t="s">
        <v>461</v>
      </c>
      <c r="V30" s="19" t="str">
        <f t="shared" si="0"/>
        <v>Yes</v>
      </c>
      <c r="W30" s="19" t="s">
        <v>75</v>
      </c>
    </row>
    <row r="31" spans="1:23">
      <c r="A31" s="2">
        <v>46003</v>
      </c>
      <c r="B31" t="s">
        <v>90</v>
      </c>
      <c r="C31">
        <v>63544</v>
      </c>
      <c r="D31">
        <v>1549</v>
      </c>
      <c r="E31" t="s">
        <v>330</v>
      </c>
      <c r="F31" t="s">
        <v>65</v>
      </c>
      <c r="G31" t="s">
        <v>47</v>
      </c>
      <c r="H31" t="s">
        <v>54</v>
      </c>
      <c r="J31" t="s">
        <v>80</v>
      </c>
      <c r="L31">
        <v>-61.051807403564403</v>
      </c>
      <c r="M31">
        <v>-61.051807403564403</v>
      </c>
      <c r="Q31">
        <v>298.900000000033</v>
      </c>
      <c r="R31">
        <v>-36.865234375</v>
      </c>
      <c r="S31">
        <v>-36.865234375</v>
      </c>
      <c r="V31" t="str">
        <f t="shared" si="0"/>
        <v>No</v>
      </c>
    </row>
    <row r="32" spans="1:23">
      <c r="A32" s="2">
        <v>46003</v>
      </c>
      <c r="B32" t="s">
        <v>69</v>
      </c>
      <c r="C32">
        <v>63545</v>
      </c>
      <c r="D32">
        <v>1550</v>
      </c>
      <c r="E32" t="s">
        <v>331</v>
      </c>
      <c r="F32" t="s">
        <v>65</v>
      </c>
      <c r="G32" t="s">
        <v>47</v>
      </c>
      <c r="H32" t="s">
        <v>48</v>
      </c>
      <c r="I32" t="s">
        <v>106</v>
      </c>
      <c r="J32" t="s">
        <v>50</v>
      </c>
      <c r="L32">
        <v>-46.307552337646399</v>
      </c>
      <c r="M32">
        <v>-46.307552337646399</v>
      </c>
      <c r="Q32">
        <v>299.10000000003299</v>
      </c>
      <c r="R32">
        <v>-42.6025390625</v>
      </c>
      <c r="S32">
        <v>-42.6025390625</v>
      </c>
      <c r="V32" t="str">
        <f t="shared" si="0"/>
        <v>No</v>
      </c>
    </row>
    <row r="33" spans="1:23">
      <c r="A33" s="2">
        <v>46003</v>
      </c>
      <c r="B33" t="s">
        <v>44</v>
      </c>
      <c r="C33">
        <v>63545</v>
      </c>
      <c r="D33">
        <v>1551</v>
      </c>
      <c r="E33" t="s">
        <v>332</v>
      </c>
      <c r="F33" t="s">
        <v>65</v>
      </c>
      <c r="G33" t="s">
        <v>47</v>
      </c>
      <c r="H33" t="s">
        <v>108</v>
      </c>
      <c r="I33" t="s">
        <v>109</v>
      </c>
      <c r="J33" t="s">
        <v>50</v>
      </c>
      <c r="L33">
        <v>-59.285091400146399</v>
      </c>
      <c r="M33">
        <v>-59.285091400146399</v>
      </c>
      <c r="Q33">
        <v>298.900000000033</v>
      </c>
      <c r="R33">
        <v>-48.52294921875</v>
      </c>
      <c r="S33">
        <v>-48.52294921875</v>
      </c>
      <c r="V33" t="str">
        <f t="shared" si="0"/>
        <v>No</v>
      </c>
    </row>
    <row r="34" spans="1:23" s="81" customFormat="1">
      <c r="A34" s="80">
        <v>46003</v>
      </c>
      <c r="B34" s="81" t="s">
        <v>90</v>
      </c>
      <c r="C34" s="81">
        <v>63545</v>
      </c>
      <c r="D34" s="81">
        <v>1552</v>
      </c>
      <c r="E34" s="81" t="s">
        <v>333</v>
      </c>
      <c r="F34" s="81" t="s">
        <v>65</v>
      </c>
      <c r="G34" s="81" t="s">
        <v>47</v>
      </c>
      <c r="H34" s="81" t="s">
        <v>48</v>
      </c>
      <c r="J34" s="81" t="s">
        <v>50</v>
      </c>
      <c r="Q34" s="81">
        <v>298.55000000003298</v>
      </c>
      <c r="R34" s="81">
        <v>-34.1796875</v>
      </c>
      <c r="S34" s="81" t="s">
        <v>461</v>
      </c>
      <c r="V34" s="81" t="str">
        <f t="shared" si="0"/>
        <v>Yes</v>
      </c>
      <c r="W34" s="81" t="s">
        <v>89</v>
      </c>
    </row>
    <row r="35" spans="1:23">
      <c r="A35" s="2">
        <v>46007</v>
      </c>
      <c r="B35" t="s">
        <v>44</v>
      </c>
      <c r="C35">
        <v>63549</v>
      </c>
      <c r="D35">
        <v>1553</v>
      </c>
      <c r="E35" t="s">
        <v>334</v>
      </c>
      <c r="F35" t="s">
        <v>65</v>
      </c>
      <c r="G35" t="s">
        <v>57</v>
      </c>
      <c r="H35" t="s">
        <v>48</v>
      </c>
      <c r="J35" t="s">
        <v>50</v>
      </c>
      <c r="L35">
        <v>-69.831962590000003</v>
      </c>
      <c r="M35">
        <v>-69.831962590000003</v>
      </c>
      <c r="Q35">
        <v>298.900000000033</v>
      </c>
      <c r="R35">
        <v>-45.989990234375</v>
      </c>
      <c r="S35">
        <v>-45.989990234375</v>
      </c>
    </row>
    <row r="36" spans="1:23">
      <c r="A36" s="2">
        <v>46007</v>
      </c>
      <c r="B36" t="s">
        <v>69</v>
      </c>
      <c r="C36">
        <v>63549</v>
      </c>
      <c r="D36">
        <v>1554</v>
      </c>
      <c r="E36" t="s">
        <v>335</v>
      </c>
      <c r="F36" t="s">
        <v>65</v>
      </c>
      <c r="G36" t="s">
        <v>57</v>
      </c>
      <c r="H36" t="s">
        <v>48</v>
      </c>
      <c r="J36" t="s">
        <v>50</v>
      </c>
      <c r="L36">
        <v>-62.54979324</v>
      </c>
      <c r="M36">
        <v>-62.54979324</v>
      </c>
      <c r="Q36">
        <v>299.20000000003301</v>
      </c>
      <c r="R36">
        <v>-42.083740234375</v>
      </c>
      <c r="S36">
        <v>-42.083740234375</v>
      </c>
    </row>
    <row r="37" spans="1:23">
      <c r="A37" s="2">
        <v>46007</v>
      </c>
      <c r="B37" t="s">
        <v>44</v>
      </c>
      <c r="C37">
        <v>63549</v>
      </c>
      <c r="D37">
        <v>1555</v>
      </c>
      <c r="E37" t="s">
        <v>336</v>
      </c>
      <c r="F37" t="s">
        <v>65</v>
      </c>
      <c r="G37" t="s">
        <v>57</v>
      </c>
      <c r="H37" t="s">
        <v>48</v>
      </c>
      <c r="I37" t="s">
        <v>112</v>
      </c>
      <c r="J37" t="s">
        <v>50</v>
      </c>
      <c r="L37">
        <v>-62.680618289999998</v>
      </c>
      <c r="M37">
        <v>-62.680618289999998</v>
      </c>
      <c r="Q37">
        <v>298.55000000003298</v>
      </c>
      <c r="R37">
        <v>-54.931640625</v>
      </c>
      <c r="S37">
        <v>-54.931640625</v>
      </c>
    </row>
    <row r="38" spans="1:23">
      <c r="A38" s="2">
        <v>46007</v>
      </c>
      <c r="B38" t="s">
        <v>69</v>
      </c>
      <c r="C38">
        <v>63549</v>
      </c>
      <c r="D38">
        <v>1556</v>
      </c>
      <c r="E38" t="s">
        <v>337</v>
      </c>
      <c r="F38" t="s">
        <v>65</v>
      </c>
      <c r="G38" t="s">
        <v>57</v>
      </c>
      <c r="H38" t="s">
        <v>48</v>
      </c>
      <c r="J38" t="s">
        <v>50</v>
      </c>
      <c r="L38">
        <v>-57.13628387</v>
      </c>
      <c r="M38">
        <v>-57.13628387</v>
      </c>
      <c r="Q38">
        <v>299.00000000003303</v>
      </c>
      <c r="R38">
        <v>-49.102783203125</v>
      </c>
      <c r="S38">
        <v>-49.102783203125</v>
      </c>
    </row>
    <row r="39" spans="1:23">
      <c r="A39" s="2">
        <v>46007</v>
      </c>
      <c r="B39" t="s">
        <v>90</v>
      </c>
      <c r="C39">
        <v>63549</v>
      </c>
      <c r="D39">
        <v>1557</v>
      </c>
      <c r="E39" t="s">
        <v>334</v>
      </c>
      <c r="F39" t="s">
        <v>65</v>
      </c>
      <c r="G39" t="s">
        <v>57</v>
      </c>
      <c r="H39" t="s">
        <v>48</v>
      </c>
      <c r="I39" t="s">
        <v>115</v>
      </c>
      <c r="J39" t="s">
        <v>50</v>
      </c>
      <c r="L39">
        <v>-65.283187870000006</v>
      </c>
      <c r="M39">
        <v>-65.283187870000006</v>
      </c>
      <c r="Q39">
        <v>298.85000000003299</v>
      </c>
      <c r="R39">
        <v>-45.013427734375</v>
      </c>
      <c r="S39">
        <v>-45.013427734375</v>
      </c>
    </row>
    <row r="40" spans="1:23">
      <c r="A40" s="2">
        <v>46007</v>
      </c>
      <c r="B40" t="s">
        <v>69</v>
      </c>
      <c r="C40">
        <v>63546</v>
      </c>
      <c r="D40">
        <v>1558</v>
      </c>
      <c r="E40" t="s">
        <v>338</v>
      </c>
      <c r="F40" t="s">
        <v>65</v>
      </c>
      <c r="G40" t="s">
        <v>57</v>
      </c>
      <c r="H40" t="s">
        <v>54</v>
      </c>
      <c r="J40" t="s">
        <v>50</v>
      </c>
      <c r="L40">
        <v>-60.09840775</v>
      </c>
      <c r="M40">
        <v>-60.09840775</v>
      </c>
      <c r="Q40">
        <v>298.900000000033</v>
      </c>
      <c r="R40">
        <v>-51.33056640625</v>
      </c>
      <c r="S40">
        <v>-51.33056640625</v>
      </c>
    </row>
    <row r="41" spans="1:23">
      <c r="A41" s="2">
        <v>46007</v>
      </c>
      <c r="B41" t="s">
        <v>69</v>
      </c>
      <c r="C41">
        <v>63546</v>
      </c>
      <c r="D41">
        <v>1559</v>
      </c>
      <c r="E41" t="s">
        <v>339</v>
      </c>
      <c r="F41" t="s">
        <v>65</v>
      </c>
      <c r="G41" t="s">
        <v>57</v>
      </c>
      <c r="H41" t="s">
        <v>54</v>
      </c>
      <c r="J41" t="s">
        <v>50</v>
      </c>
      <c r="L41">
        <v>-54.056751249999998</v>
      </c>
      <c r="M41">
        <v>-54.056751249999998</v>
      </c>
      <c r="Q41">
        <v>298.900000000033</v>
      </c>
      <c r="R41">
        <v>-46.38671875</v>
      </c>
      <c r="S41">
        <v>-46.38671875</v>
      </c>
    </row>
    <row r="42" spans="1:23">
      <c r="A42" s="2">
        <v>46007</v>
      </c>
      <c r="B42" t="s">
        <v>44</v>
      </c>
      <c r="C42">
        <v>63546</v>
      </c>
      <c r="D42">
        <v>1560</v>
      </c>
      <c r="E42" t="s">
        <v>340</v>
      </c>
      <c r="F42" t="s">
        <v>65</v>
      </c>
      <c r="G42" t="s">
        <v>57</v>
      </c>
      <c r="H42" t="s">
        <v>54</v>
      </c>
      <c r="I42" t="s">
        <v>119</v>
      </c>
      <c r="J42" t="s">
        <v>50</v>
      </c>
      <c r="L42">
        <v>-60.66435242</v>
      </c>
      <c r="M42">
        <v>-60.66435242</v>
      </c>
      <c r="Q42">
        <v>298.95000000003301</v>
      </c>
      <c r="R42">
        <v>-50.1708984375</v>
      </c>
      <c r="S42">
        <v>-50.1708984375</v>
      </c>
    </row>
    <row r="43" spans="1:23" s="58" customFormat="1">
      <c r="A43" s="59">
        <v>46007</v>
      </c>
      <c r="B43" s="58" t="s">
        <v>90</v>
      </c>
      <c r="C43" s="58">
        <v>63546</v>
      </c>
      <c r="D43" s="58">
        <v>1561</v>
      </c>
      <c r="E43" s="58" t="s">
        <v>336</v>
      </c>
      <c r="F43" s="58" t="s">
        <v>65</v>
      </c>
      <c r="G43" s="58" t="s">
        <v>57</v>
      </c>
      <c r="H43" s="58" t="s">
        <v>54</v>
      </c>
      <c r="I43" s="58" t="s">
        <v>121</v>
      </c>
      <c r="J43" s="58" t="s">
        <v>50</v>
      </c>
      <c r="L43" s="58">
        <v>-33.173889160000002</v>
      </c>
      <c r="M43" s="58" t="s">
        <v>461</v>
      </c>
      <c r="Q43" s="58">
        <v>298.900000000033</v>
      </c>
      <c r="R43" s="58">
        <v>-35.552978515625</v>
      </c>
      <c r="S43" s="58" t="s">
        <v>461</v>
      </c>
      <c r="V43" s="58" t="s">
        <v>70</v>
      </c>
      <c r="W43" s="19" t="s">
        <v>75</v>
      </c>
    </row>
    <row r="44" spans="1:23" s="19" customFormat="1">
      <c r="A44" s="20">
        <v>46008</v>
      </c>
      <c r="B44" s="19" t="s">
        <v>90</v>
      </c>
      <c r="C44" s="19">
        <v>63554</v>
      </c>
      <c r="D44" s="19">
        <v>1562</v>
      </c>
      <c r="E44" s="19" t="s">
        <v>341</v>
      </c>
      <c r="F44" s="19" t="s">
        <v>46</v>
      </c>
      <c r="G44" s="19" t="s">
        <v>57</v>
      </c>
      <c r="H44" s="19" t="s">
        <v>54</v>
      </c>
      <c r="J44" s="19" t="s">
        <v>50</v>
      </c>
      <c r="L44" s="19">
        <v>-59.842552189999999</v>
      </c>
      <c r="M44" s="19">
        <v>-59.842552189999999</v>
      </c>
      <c r="Q44" s="19">
        <v>298.50000000003303</v>
      </c>
      <c r="R44" s="19">
        <v>-48.980712890625</v>
      </c>
      <c r="S44" s="19">
        <v>-48.980712890625</v>
      </c>
      <c r="V44" s="19" t="s">
        <v>70</v>
      </c>
      <c r="W44" s="19" t="s">
        <v>89</v>
      </c>
    </row>
    <row r="45" spans="1:23">
      <c r="A45" s="2">
        <v>46008</v>
      </c>
      <c r="B45" t="s">
        <v>44</v>
      </c>
      <c r="C45">
        <v>63554</v>
      </c>
      <c r="D45">
        <v>1563</v>
      </c>
      <c r="E45" t="s">
        <v>342</v>
      </c>
      <c r="F45" t="s">
        <v>46</v>
      </c>
      <c r="G45" t="s">
        <v>57</v>
      </c>
      <c r="H45" t="s">
        <v>54</v>
      </c>
      <c r="I45" t="s">
        <v>123</v>
      </c>
      <c r="J45" t="s">
        <v>50</v>
      </c>
      <c r="L45">
        <v>-57.32332993</v>
      </c>
      <c r="M45">
        <v>-57.32332993</v>
      </c>
      <c r="Q45">
        <v>298.80000000003298</v>
      </c>
      <c r="R45">
        <v>-38.970947265625</v>
      </c>
      <c r="S45">
        <v>-38.970947265625</v>
      </c>
    </row>
    <row r="46" spans="1:23">
      <c r="A46" s="2">
        <v>46008</v>
      </c>
      <c r="B46" t="s">
        <v>44</v>
      </c>
      <c r="C46">
        <v>63554</v>
      </c>
      <c r="D46">
        <v>1564</v>
      </c>
      <c r="E46" t="s">
        <v>343</v>
      </c>
      <c r="F46" t="s">
        <v>46</v>
      </c>
      <c r="G46" t="s">
        <v>57</v>
      </c>
      <c r="H46" t="s">
        <v>54</v>
      </c>
      <c r="I46" t="s">
        <v>125</v>
      </c>
      <c r="J46" t="s">
        <v>50</v>
      </c>
      <c r="L46">
        <v>-42.973609920000001</v>
      </c>
      <c r="M46">
        <v>-42.973609920000001</v>
      </c>
      <c r="Q46">
        <v>298.900000000033</v>
      </c>
      <c r="R46">
        <v>-35.2783203125</v>
      </c>
      <c r="S46">
        <v>-35.2783203125</v>
      </c>
    </row>
    <row r="47" spans="1:23">
      <c r="A47" s="2">
        <v>46008</v>
      </c>
      <c r="B47" t="s">
        <v>44</v>
      </c>
      <c r="C47">
        <v>63555</v>
      </c>
      <c r="D47">
        <v>1565</v>
      </c>
      <c r="E47" t="s">
        <v>344</v>
      </c>
      <c r="F47" t="s">
        <v>46</v>
      </c>
      <c r="G47" t="s">
        <v>57</v>
      </c>
      <c r="H47" t="s">
        <v>48</v>
      </c>
      <c r="I47" t="s">
        <v>127</v>
      </c>
      <c r="J47" t="s">
        <v>50</v>
      </c>
      <c r="L47">
        <v>-71.541549680000003</v>
      </c>
      <c r="M47">
        <v>-71.541549680000003</v>
      </c>
      <c r="Q47">
        <v>298.95000000003301</v>
      </c>
      <c r="R47">
        <v>-36.4990234375</v>
      </c>
      <c r="S47">
        <v>-36.4990234375</v>
      </c>
    </row>
    <row r="48" spans="1:23" s="19" customFormat="1">
      <c r="A48" s="20">
        <v>46008</v>
      </c>
      <c r="B48" s="19" t="s">
        <v>90</v>
      </c>
      <c r="C48" s="19">
        <v>63555</v>
      </c>
      <c r="D48" s="19">
        <v>1566</v>
      </c>
      <c r="E48" s="19" t="s">
        <v>345</v>
      </c>
      <c r="F48" s="19" t="s">
        <v>46</v>
      </c>
      <c r="G48" s="19" t="s">
        <v>57</v>
      </c>
      <c r="H48" s="19" t="s">
        <v>48</v>
      </c>
      <c r="J48" s="19" t="s">
        <v>50</v>
      </c>
      <c r="L48" s="19">
        <v>-51.133152010000003</v>
      </c>
      <c r="M48" s="19">
        <v>-51.133152010000003</v>
      </c>
      <c r="Q48" s="19">
        <v>298.85000000003299</v>
      </c>
      <c r="R48" s="19">
        <v>-36.56005859375</v>
      </c>
      <c r="S48" s="19">
        <v>-36.56005859375</v>
      </c>
      <c r="V48" s="19" t="s">
        <v>70</v>
      </c>
      <c r="W48" s="19" t="s">
        <v>89</v>
      </c>
    </row>
    <row r="49" spans="1:23">
      <c r="A49" s="2">
        <v>46008</v>
      </c>
      <c r="B49" t="s">
        <v>90</v>
      </c>
      <c r="C49">
        <v>63555</v>
      </c>
      <c r="D49">
        <v>1567</v>
      </c>
      <c r="E49" t="s">
        <v>346</v>
      </c>
      <c r="F49" t="s">
        <v>46</v>
      </c>
      <c r="G49" t="s">
        <v>57</v>
      </c>
      <c r="H49" t="s">
        <v>48</v>
      </c>
      <c r="J49" t="s">
        <v>50</v>
      </c>
      <c r="L49">
        <v>-65.958045960000007</v>
      </c>
      <c r="M49">
        <v>-65.958045960000007</v>
      </c>
      <c r="Q49">
        <v>299.00000000003303</v>
      </c>
      <c r="R49">
        <v>-26.91650390625</v>
      </c>
      <c r="S49">
        <v>-26.91650390625</v>
      </c>
    </row>
    <row r="50" spans="1:23">
      <c r="A50" s="2">
        <v>46009</v>
      </c>
      <c r="B50" t="s">
        <v>69</v>
      </c>
      <c r="C50">
        <v>63556</v>
      </c>
      <c r="D50">
        <v>1568</v>
      </c>
      <c r="E50" t="s">
        <v>347</v>
      </c>
      <c r="F50" t="s">
        <v>46</v>
      </c>
      <c r="G50" t="s">
        <v>47</v>
      </c>
      <c r="H50" t="s">
        <v>54</v>
      </c>
      <c r="J50" t="s">
        <v>50</v>
      </c>
      <c r="L50">
        <v>-61.160972600000001</v>
      </c>
      <c r="M50">
        <v>-61.160972600000001</v>
      </c>
      <c r="Q50">
        <v>298.95000000003301</v>
      </c>
      <c r="R50">
        <v>-49.041748046875</v>
      </c>
      <c r="S50">
        <v>-49.041748046875</v>
      </c>
    </row>
    <row r="51" spans="1:23">
      <c r="A51" s="2">
        <v>46009</v>
      </c>
      <c r="B51" t="s">
        <v>69</v>
      </c>
      <c r="C51">
        <v>63556</v>
      </c>
      <c r="D51">
        <v>1569</v>
      </c>
      <c r="E51" t="s">
        <v>348</v>
      </c>
      <c r="F51" t="s">
        <v>46</v>
      </c>
      <c r="G51" t="s">
        <v>47</v>
      </c>
      <c r="H51" t="s">
        <v>54</v>
      </c>
      <c r="J51" t="s">
        <v>50</v>
      </c>
      <c r="L51">
        <v>-57.936534880000004</v>
      </c>
      <c r="M51">
        <v>-57.936534880000004</v>
      </c>
      <c r="Q51">
        <v>298.900000000033</v>
      </c>
      <c r="R51">
        <v>-39.337158203125</v>
      </c>
      <c r="S51">
        <v>-39.337158203125</v>
      </c>
    </row>
    <row r="52" spans="1:23">
      <c r="A52" s="2">
        <v>46009</v>
      </c>
      <c r="B52" t="s">
        <v>44</v>
      </c>
      <c r="C52">
        <v>63556</v>
      </c>
      <c r="D52">
        <v>1570</v>
      </c>
      <c r="E52" t="s">
        <v>349</v>
      </c>
      <c r="F52" t="s">
        <v>46</v>
      </c>
      <c r="G52" t="s">
        <v>47</v>
      </c>
      <c r="H52" t="s">
        <v>54</v>
      </c>
      <c r="I52" t="s">
        <v>130</v>
      </c>
      <c r="J52" t="s">
        <v>50</v>
      </c>
      <c r="L52">
        <v>-61.701087950000002</v>
      </c>
      <c r="M52">
        <v>-61.701087950000002</v>
      </c>
      <c r="Q52">
        <v>298.900000000033</v>
      </c>
      <c r="R52">
        <v>-47.54638671875</v>
      </c>
      <c r="S52">
        <v>-47.54638671875</v>
      </c>
    </row>
    <row r="53" spans="1:23" s="58" customFormat="1">
      <c r="A53" s="59">
        <v>46009</v>
      </c>
      <c r="B53" s="58" t="s">
        <v>44</v>
      </c>
      <c r="C53" s="58">
        <v>63556</v>
      </c>
      <c r="D53" s="58">
        <v>1571</v>
      </c>
      <c r="E53" s="58" t="s">
        <v>350</v>
      </c>
      <c r="F53" s="58" t="s">
        <v>46</v>
      </c>
      <c r="G53" s="58" t="s">
        <v>47</v>
      </c>
      <c r="H53" s="58" t="s">
        <v>54</v>
      </c>
      <c r="J53" s="58" t="s">
        <v>50</v>
      </c>
      <c r="L53" s="58">
        <v>-52.371948240000002</v>
      </c>
      <c r="M53" s="58" t="s">
        <v>461</v>
      </c>
      <c r="Q53" s="58">
        <v>299.00000000003303</v>
      </c>
      <c r="R53" s="58">
        <v>-57.18994140625</v>
      </c>
      <c r="S53" s="58" t="s">
        <v>461</v>
      </c>
      <c r="V53" s="58" t="s">
        <v>70</v>
      </c>
      <c r="W53" s="19" t="s">
        <v>75</v>
      </c>
    </row>
    <row r="54" spans="1:23">
      <c r="A54" s="2">
        <v>46009</v>
      </c>
      <c r="B54" t="s">
        <v>44</v>
      </c>
      <c r="C54">
        <v>63557</v>
      </c>
      <c r="D54">
        <v>1572</v>
      </c>
      <c r="E54" t="s">
        <v>351</v>
      </c>
      <c r="F54" t="s">
        <v>46</v>
      </c>
      <c r="G54" t="s">
        <v>47</v>
      </c>
      <c r="H54" t="s">
        <v>48</v>
      </c>
      <c r="I54" t="s">
        <v>132</v>
      </c>
      <c r="J54" t="s">
        <v>50</v>
      </c>
      <c r="L54">
        <v>-63.303707119999999</v>
      </c>
      <c r="M54">
        <v>-63.303707119999999</v>
      </c>
      <c r="Q54">
        <v>298.900000000033</v>
      </c>
      <c r="R54">
        <v>-43.426513671875</v>
      </c>
      <c r="S54">
        <v>-43.426513671875</v>
      </c>
    </row>
    <row r="55" spans="1:23">
      <c r="A55" s="2">
        <v>46010</v>
      </c>
      <c r="B55" t="s">
        <v>69</v>
      </c>
      <c r="C55">
        <v>63547</v>
      </c>
      <c r="D55">
        <v>1573</v>
      </c>
      <c r="E55" t="s">
        <v>352</v>
      </c>
      <c r="F55" t="s">
        <v>65</v>
      </c>
      <c r="G55" t="s">
        <v>47</v>
      </c>
      <c r="H55" t="s">
        <v>48</v>
      </c>
      <c r="I55" t="s">
        <v>134</v>
      </c>
      <c r="J55" t="s">
        <v>50</v>
      </c>
      <c r="L55">
        <v>-50.831607820000002</v>
      </c>
      <c r="M55">
        <v>-50.831607820000002</v>
      </c>
      <c r="Q55">
        <v>298.900000000033</v>
      </c>
      <c r="R55">
        <v>-37.078857421875</v>
      </c>
      <c r="S55">
        <v>-37.078857421875</v>
      </c>
    </row>
    <row r="56" spans="1:23">
      <c r="A56" s="2">
        <v>46010</v>
      </c>
      <c r="B56" t="s">
        <v>69</v>
      </c>
      <c r="C56">
        <v>63548</v>
      </c>
      <c r="D56">
        <v>1574</v>
      </c>
      <c r="E56" t="s">
        <v>353</v>
      </c>
      <c r="F56" t="s">
        <v>65</v>
      </c>
      <c r="G56" t="s">
        <v>47</v>
      </c>
      <c r="H56" t="s">
        <v>54</v>
      </c>
      <c r="I56" t="s">
        <v>135</v>
      </c>
      <c r="J56" t="s">
        <v>50</v>
      </c>
      <c r="L56">
        <v>-65.034881589999998</v>
      </c>
      <c r="M56">
        <v>-65.034881589999998</v>
      </c>
      <c r="Q56">
        <v>299.00000000003303</v>
      </c>
      <c r="R56">
        <v>-49.041748046875</v>
      </c>
      <c r="S56">
        <v>-49.041748046875</v>
      </c>
    </row>
    <row r="57" spans="1:23" s="58" customFormat="1">
      <c r="A57" s="59">
        <v>46010</v>
      </c>
      <c r="B57" s="58" t="s">
        <v>90</v>
      </c>
      <c r="C57" s="58">
        <v>63548</v>
      </c>
      <c r="D57" s="58">
        <v>1575</v>
      </c>
      <c r="E57" s="58" t="s">
        <v>354</v>
      </c>
      <c r="F57" s="58" t="s">
        <v>65</v>
      </c>
      <c r="G57" s="58" t="s">
        <v>47</v>
      </c>
      <c r="H57" s="58" t="s">
        <v>54</v>
      </c>
      <c r="I57" s="58" t="s">
        <v>136</v>
      </c>
      <c r="J57" s="58" t="s">
        <v>50</v>
      </c>
      <c r="M57" s="58" t="s">
        <v>461</v>
      </c>
      <c r="Q57" s="58">
        <v>298.900000000033</v>
      </c>
      <c r="R57" s="58">
        <v>-41.839599609375</v>
      </c>
      <c r="S57" s="58" t="s">
        <v>461</v>
      </c>
      <c r="V57" s="58" t="s">
        <v>70</v>
      </c>
      <c r="W57" s="19" t="s">
        <v>75</v>
      </c>
    </row>
    <row r="58" spans="1:23">
      <c r="A58" s="2">
        <v>46010</v>
      </c>
      <c r="B58" t="s">
        <v>69</v>
      </c>
      <c r="C58">
        <v>63548</v>
      </c>
      <c r="D58">
        <v>1576</v>
      </c>
      <c r="E58" t="s">
        <v>355</v>
      </c>
      <c r="F58" t="s">
        <v>65</v>
      </c>
      <c r="G58" t="s">
        <v>47</v>
      </c>
      <c r="H58" t="s">
        <v>54</v>
      </c>
      <c r="I58" t="s">
        <v>138</v>
      </c>
      <c r="J58" t="s">
        <v>50</v>
      </c>
      <c r="L58">
        <v>-51.618473049999999</v>
      </c>
      <c r="M58">
        <v>-51.618473049999999</v>
      </c>
      <c r="Q58">
        <v>298.900000000033</v>
      </c>
      <c r="R58">
        <v>-25.482177734375</v>
      </c>
      <c r="S58">
        <v>-25.482177734375</v>
      </c>
    </row>
    <row r="59" spans="1:23">
      <c r="A59" s="2">
        <v>46010</v>
      </c>
      <c r="B59" t="s">
        <v>90</v>
      </c>
      <c r="C59">
        <v>63548</v>
      </c>
      <c r="D59">
        <v>1577</v>
      </c>
      <c r="E59" t="s">
        <v>356</v>
      </c>
      <c r="F59" t="s">
        <v>65</v>
      </c>
      <c r="G59" t="s">
        <v>47</v>
      </c>
      <c r="H59" t="s">
        <v>54</v>
      </c>
      <c r="I59" t="s">
        <v>139</v>
      </c>
      <c r="J59" t="s">
        <v>50</v>
      </c>
      <c r="L59">
        <v>-58.599304199999999</v>
      </c>
      <c r="M59">
        <v>-58.599304199999999</v>
      </c>
      <c r="Q59">
        <v>299.30000000003298</v>
      </c>
      <c r="R59">
        <v>-38.9404296875</v>
      </c>
      <c r="S59">
        <v>-38.9404296875</v>
      </c>
    </row>
    <row r="60" spans="1:23">
      <c r="A60" s="2">
        <v>46028</v>
      </c>
      <c r="B60" t="s">
        <v>44</v>
      </c>
      <c r="C60">
        <v>64063</v>
      </c>
      <c r="D60">
        <v>1578</v>
      </c>
      <c r="F60" t="s">
        <v>46</v>
      </c>
      <c r="G60" t="s">
        <v>47</v>
      </c>
      <c r="H60" t="s">
        <v>48</v>
      </c>
      <c r="I60" t="s">
        <v>141</v>
      </c>
      <c r="J60" t="s">
        <v>50</v>
      </c>
      <c r="L60">
        <v>-64.186660770000003</v>
      </c>
      <c r="M60">
        <v>-64.186660770000003</v>
      </c>
      <c r="Q60">
        <v>298.8</v>
      </c>
      <c r="R60">
        <v>-45.654296879999997</v>
      </c>
      <c r="S60">
        <v>-45.654296879999997</v>
      </c>
    </row>
    <row r="61" spans="1:23">
      <c r="A61" s="2">
        <v>46028</v>
      </c>
      <c r="B61" t="s">
        <v>44</v>
      </c>
      <c r="C61">
        <v>64063</v>
      </c>
      <c r="D61">
        <v>1579</v>
      </c>
      <c r="F61" t="s">
        <v>46</v>
      </c>
      <c r="G61" t="s">
        <v>47</v>
      </c>
      <c r="H61" t="s">
        <v>48</v>
      </c>
      <c r="I61" t="s">
        <v>143</v>
      </c>
      <c r="J61" t="s">
        <v>50</v>
      </c>
      <c r="L61">
        <v>-66.314437870000006</v>
      </c>
      <c r="M61">
        <v>-66.314437870000006</v>
      </c>
      <c r="Q61">
        <v>298.95</v>
      </c>
      <c r="R61">
        <v>-48.828125</v>
      </c>
      <c r="S61">
        <v>-48.828125</v>
      </c>
    </row>
    <row r="62" spans="1:23">
      <c r="A62" s="2">
        <v>46028</v>
      </c>
      <c r="B62" t="s">
        <v>44</v>
      </c>
      <c r="C62">
        <v>64064</v>
      </c>
      <c r="D62">
        <v>1580</v>
      </c>
      <c r="F62" t="s">
        <v>46</v>
      </c>
      <c r="G62" t="s">
        <v>47</v>
      </c>
      <c r="H62" t="s">
        <v>54</v>
      </c>
      <c r="J62" t="s">
        <v>50</v>
      </c>
      <c r="L62">
        <v>-59.031696320000002</v>
      </c>
      <c r="M62">
        <v>-59.031696320000002</v>
      </c>
      <c r="Q62">
        <v>299</v>
      </c>
      <c r="R62">
        <v>-39.916992190000002</v>
      </c>
      <c r="S62">
        <v>-39.916992190000002</v>
      </c>
    </row>
    <row r="63" spans="1:23">
      <c r="A63" s="2">
        <v>46028</v>
      </c>
      <c r="B63" t="s">
        <v>44</v>
      </c>
      <c r="C63">
        <v>64064</v>
      </c>
      <c r="D63">
        <v>1581</v>
      </c>
      <c r="F63" t="s">
        <v>46</v>
      </c>
      <c r="G63" t="s">
        <v>47</v>
      </c>
      <c r="H63" t="s">
        <v>54</v>
      </c>
      <c r="J63" t="s">
        <v>50</v>
      </c>
      <c r="L63">
        <v>-43.698745729999999</v>
      </c>
      <c r="M63">
        <v>-43.698745729999999</v>
      </c>
      <c r="Q63">
        <v>298.75</v>
      </c>
      <c r="R63">
        <v>-42.938232419999999</v>
      </c>
      <c r="S63">
        <v>-42.938232419999999</v>
      </c>
    </row>
    <row r="64" spans="1:23" s="19" customFormat="1">
      <c r="A64" s="20">
        <v>46028</v>
      </c>
      <c r="B64" s="19" t="s">
        <v>90</v>
      </c>
      <c r="C64" s="19">
        <v>64064</v>
      </c>
      <c r="D64" s="19">
        <v>1582</v>
      </c>
      <c r="F64" s="19" t="s">
        <v>46</v>
      </c>
      <c r="G64" s="19" t="s">
        <v>47</v>
      </c>
      <c r="H64" s="19" t="s">
        <v>54</v>
      </c>
      <c r="J64" s="19" t="s">
        <v>50</v>
      </c>
      <c r="L64" s="19">
        <v>-72.330291750000001</v>
      </c>
      <c r="M64" s="19">
        <v>-72.330291750000001</v>
      </c>
      <c r="Q64" s="19">
        <v>299</v>
      </c>
      <c r="R64" s="19">
        <v>-40.588378910000003</v>
      </c>
      <c r="S64" s="19">
        <v>-40.588378910000003</v>
      </c>
      <c r="V64" s="19" t="s">
        <v>146</v>
      </c>
    </row>
    <row r="65" spans="1:23">
      <c r="A65" s="2">
        <v>46030</v>
      </c>
      <c r="B65" t="s">
        <v>44</v>
      </c>
      <c r="C65">
        <v>64055</v>
      </c>
      <c r="D65">
        <v>1583</v>
      </c>
      <c r="F65" t="s">
        <v>65</v>
      </c>
      <c r="G65" t="s">
        <v>47</v>
      </c>
      <c r="H65" t="s">
        <v>48</v>
      </c>
      <c r="I65" t="s">
        <v>147</v>
      </c>
      <c r="J65" t="s">
        <v>50</v>
      </c>
      <c r="L65">
        <v>-55.441585539999998</v>
      </c>
      <c r="M65">
        <v>-55.441585539999998</v>
      </c>
      <c r="Q65">
        <v>299.05</v>
      </c>
      <c r="R65">
        <v>-50.14038086</v>
      </c>
      <c r="S65">
        <v>-50.14038086</v>
      </c>
    </row>
    <row r="66" spans="1:23">
      <c r="A66" s="2">
        <v>46030</v>
      </c>
      <c r="B66" t="s">
        <v>44</v>
      </c>
      <c r="C66">
        <v>64056</v>
      </c>
      <c r="D66">
        <v>1584</v>
      </c>
      <c r="F66" t="s">
        <v>65</v>
      </c>
      <c r="G66" t="s">
        <v>47</v>
      </c>
      <c r="H66" t="s">
        <v>54</v>
      </c>
      <c r="J66" t="s">
        <v>50</v>
      </c>
      <c r="L66">
        <v>-48.275001529999997</v>
      </c>
      <c r="M66">
        <v>-48.275001529999997</v>
      </c>
      <c r="Q66">
        <v>298.95</v>
      </c>
      <c r="R66">
        <v>-33.53881836</v>
      </c>
      <c r="S66">
        <v>-33.53881836</v>
      </c>
    </row>
    <row r="67" spans="1:23">
      <c r="A67" s="2">
        <v>46030</v>
      </c>
      <c r="B67" t="s">
        <v>69</v>
      </c>
      <c r="C67">
        <v>64056</v>
      </c>
      <c r="D67">
        <v>1585</v>
      </c>
      <c r="F67" t="s">
        <v>65</v>
      </c>
      <c r="G67" t="s">
        <v>47</v>
      </c>
      <c r="H67" t="s">
        <v>54</v>
      </c>
      <c r="J67" t="s">
        <v>50</v>
      </c>
      <c r="L67">
        <v>-51.312614439999997</v>
      </c>
      <c r="M67">
        <v>-51.312614439999997</v>
      </c>
      <c r="Q67">
        <v>298.45</v>
      </c>
      <c r="R67">
        <v>-51.11694336</v>
      </c>
      <c r="S67">
        <v>-51.11694336</v>
      </c>
    </row>
    <row r="68" spans="1:23">
      <c r="A68" s="2">
        <v>46030</v>
      </c>
      <c r="B68" t="s">
        <v>90</v>
      </c>
      <c r="C68">
        <v>64056</v>
      </c>
      <c r="D68">
        <v>1586</v>
      </c>
      <c r="F68" t="s">
        <v>65</v>
      </c>
      <c r="G68" t="s">
        <v>47</v>
      </c>
      <c r="H68" t="s">
        <v>54</v>
      </c>
      <c r="J68" t="s">
        <v>50</v>
      </c>
      <c r="L68">
        <v>-59.946529390000002</v>
      </c>
      <c r="M68">
        <v>-59.946529390000002</v>
      </c>
      <c r="Q68">
        <v>299.39999999999998</v>
      </c>
      <c r="R68">
        <v>-47.760009770000003</v>
      </c>
      <c r="S68">
        <v>-47.760009770000003</v>
      </c>
    </row>
    <row r="69" spans="1:23">
      <c r="A69" s="2">
        <v>46030</v>
      </c>
      <c r="B69" t="s">
        <v>90</v>
      </c>
      <c r="C69">
        <v>64056</v>
      </c>
      <c r="D69">
        <v>1587</v>
      </c>
      <c r="F69" t="s">
        <v>65</v>
      </c>
      <c r="G69" t="s">
        <v>47</v>
      </c>
      <c r="H69" t="s">
        <v>54</v>
      </c>
      <c r="I69" t="s">
        <v>151</v>
      </c>
      <c r="J69" t="s">
        <v>50</v>
      </c>
      <c r="L69">
        <v>-75.458816530000007</v>
      </c>
      <c r="M69">
        <v>-75.458816530000007</v>
      </c>
      <c r="Q69">
        <v>298.64999999999998</v>
      </c>
      <c r="R69">
        <v>-52.734375</v>
      </c>
      <c r="S69">
        <v>-52.734375</v>
      </c>
    </row>
    <row r="70" spans="1:23" s="19" customFormat="1">
      <c r="A70" s="20">
        <v>46031</v>
      </c>
      <c r="B70" s="19" t="s">
        <v>90</v>
      </c>
      <c r="C70" s="19">
        <v>64065</v>
      </c>
      <c r="D70" s="19">
        <v>1588</v>
      </c>
      <c r="F70" s="19" t="s">
        <v>46</v>
      </c>
      <c r="G70" s="19" t="s">
        <v>57</v>
      </c>
      <c r="H70" s="19" t="s">
        <v>54</v>
      </c>
      <c r="I70" s="19" t="s">
        <v>153</v>
      </c>
      <c r="J70" s="19" t="s">
        <v>50</v>
      </c>
      <c r="L70" s="19">
        <v>-41</v>
      </c>
      <c r="M70" s="19">
        <v>-41</v>
      </c>
      <c r="Q70" s="19">
        <v>299.25</v>
      </c>
      <c r="R70" s="19">
        <v>-34.1796875</v>
      </c>
      <c r="S70" s="19">
        <v>-34.1796875</v>
      </c>
      <c r="V70" s="19" t="s">
        <v>154</v>
      </c>
    </row>
    <row r="71" spans="1:23">
      <c r="A71" s="2">
        <v>46031</v>
      </c>
      <c r="B71" t="s">
        <v>44</v>
      </c>
      <c r="C71">
        <v>64065</v>
      </c>
      <c r="D71">
        <v>1589</v>
      </c>
      <c r="F71" t="s">
        <v>46</v>
      </c>
      <c r="G71" t="s">
        <v>57</v>
      </c>
      <c r="H71" t="s">
        <v>54</v>
      </c>
      <c r="J71" t="s">
        <v>50</v>
      </c>
      <c r="L71">
        <v>-59.839836120000001</v>
      </c>
      <c r="M71">
        <v>-59.839836120000001</v>
      </c>
      <c r="Q71">
        <v>298.95</v>
      </c>
      <c r="R71">
        <v>-43.151855470000001</v>
      </c>
      <c r="S71">
        <v>-43.151855470000001</v>
      </c>
    </row>
    <row r="72" spans="1:23">
      <c r="A72" s="2">
        <v>46031</v>
      </c>
      <c r="B72" t="s">
        <v>44</v>
      </c>
      <c r="C72">
        <v>64065</v>
      </c>
      <c r="D72">
        <v>1590</v>
      </c>
      <c r="F72" t="s">
        <v>46</v>
      </c>
      <c r="G72" t="s">
        <v>57</v>
      </c>
      <c r="H72" t="s">
        <v>54</v>
      </c>
      <c r="I72" t="s">
        <v>155</v>
      </c>
      <c r="J72" t="s">
        <v>50</v>
      </c>
      <c r="L72">
        <v>-54.600898739999998</v>
      </c>
      <c r="M72">
        <v>-54.600898739999998</v>
      </c>
      <c r="Q72">
        <v>298.5</v>
      </c>
      <c r="R72">
        <v>-51.91040039</v>
      </c>
      <c r="S72">
        <v>-51.91040039</v>
      </c>
    </row>
    <row r="73" spans="1:23">
      <c r="A73" s="2">
        <v>46031</v>
      </c>
      <c r="B73" t="s">
        <v>69</v>
      </c>
      <c r="C73">
        <v>64066</v>
      </c>
      <c r="D73">
        <v>1591</v>
      </c>
      <c r="F73" t="s">
        <v>46</v>
      </c>
      <c r="G73" t="s">
        <v>57</v>
      </c>
      <c r="H73" t="s">
        <v>48</v>
      </c>
      <c r="I73" t="s">
        <v>153</v>
      </c>
      <c r="J73" t="s">
        <v>50</v>
      </c>
      <c r="L73">
        <v>-57.258132930000002</v>
      </c>
      <c r="M73">
        <v>-57.258132930000002</v>
      </c>
      <c r="Q73">
        <v>298.45</v>
      </c>
      <c r="R73">
        <v>-51.11694336</v>
      </c>
      <c r="S73">
        <v>-51.11694336</v>
      </c>
    </row>
    <row r="74" spans="1:23">
      <c r="A74" s="2">
        <v>46035</v>
      </c>
      <c r="B74" t="s">
        <v>44</v>
      </c>
      <c r="C74">
        <v>64059</v>
      </c>
      <c r="D74">
        <v>1592</v>
      </c>
      <c r="F74" t="s">
        <v>65</v>
      </c>
      <c r="G74" t="s">
        <v>47</v>
      </c>
      <c r="H74" t="s">
        <v>54</v>
      </c>
      <c r="I74" t="s">
        <v>156</v>
      </c>
      <c r="J74" t="s">
        <v>50</v>
      </c>
      <c r="L74">
        <v>-51</v>
      </c>
      <c r="M74">
        <v>-51</v>
      </c>
      <c r="Q74">
        <v>298.89999999999998</v>
      </c>
      <c r="R74">
        <v>-39.489746089999997</v>
      </c>
      <c r="S74">
        <v>-39.489746089999997</v>
      </c>
    </row>
    <row r="75" spans="1:23">
      <c r="A75" s="2">
        <v>46035</v>
      </c>
      <c r="B75" t="s">
        <v>44</v>
      </c>
      <c r="C75">
        <v>64059</v>
      </c>
      <c r="D75">
        <v>1593</v>
      </c>
      <c r="F75" t="s">
        <v>65</v>
      </c>
      <c r="G75" t="s">
        <v>47</v>
      </c>
      <c r="H75" t="s">
        <v>54</v>
      </c>
      <c r="I75" t="s">
        <v>157</v>
      </c>
      <c r="J75" t="s">
        <v>50</v>
      </c>
      <c r="L75">
        <v>-57</v>
      </c>
      <c r="M75">
        <v>-57</v>
      </c>
      <c r="Q75">
        <v>299</v>
      </c>
      <c r="R75">
        <v>-29.266357419999999</v>
      </c>
      <c r="S75">
        <v>-29.266357419999999</v>
      </c>
    </row>
    <row r="76" spans="1:23" s="19" customFormat="1">
      <c r="A76" s="20">
        <v>46035</v>
      </c>
      <c r="B76" s="19" t="s">
        <v>158</v>
      </c>
      <c r="C76" s="19">
        <v>64059</v>
      </c>
      <c r="D76" s="19">
        <v>1594</v>
      </c>
      <c r="F76" s="19" t="s">
        <v>65</v>
      </c>
      <c r="G76" s="19" t="s">
        <v>47</v>
      </c>
      <c r="H76" s="19" t="s">
        <v>54</v>
      </c>
      <c r="L76" s="19">
        <v>-62</v>
      </c>
      <c r="M76" s="19">
        <v>-62</v>
      </c>
      <c r="Q76" s="19">
        <v>298.75</v>
      </c>
      <c r="R76" s="19">
        <v>-59.204101559999998</v>
      </c>
      <c r="S76" s="19">
        <v>-59.204101559999998</v>
      </c>
      <c r="V76" s="19" t="s">
        <v>70</v>
      </c>
      <c r="W76" s="19" t="s">
        <v>89</v>
      </c>
    </row>
    <row r="77" spans="1:23">
      <c r="A77" s="2">
        <v>46035</v>
      </c>
      <c r="B77" t="s">
        <v>44</v>
      </c>
      <c r="C77">
        <v>64060</v>
      </c>
      <c r="D77">
        <v>1595</v>
      </c>
      <c r="F77" t="s">
        <v>65</v>
      </c>
      <c r="G77" t="s">
        <v>47</v>
      </c>
      <c r="H77" t="s">
        <v>48</v>
      </c>
      <c r="I77" t="s">
        <v>160</v>
      </c>
      <c r="J77" t="s">
        <v>50</v>
      </c>
      <c r="L77">
        <v>-62</v>
      </c>
      <c r="M77">
        <v>-62</v>
      </c>
      <c r="Q77">
        <v>298.8</v>
      </c>
      <c r="R77">
        <v>-41.320800779999999</v>
      </c>
      <c r="S77">
        <v>-41.320800779999999</v>
      </c>
    </row>
    <row r="78" spans="1:23">
      <c r="A78" s="2">
        <v>46036</v>
      </c>
      <c r="B78" t="s">
        <v>44</v>
      </c>
      <c r="C78">
        <v>64057</v>
      </c>
      <c r="D78">
        <v>1596</v>
      </c>
      <c r="F78" t="s">
        <v>65</v>
      </c>
      <c r="G78" t="s">
        <v>57</v>
      </c>
      <c r="H78" t="s">
        <v>48</v>
      </c>
      <c r="I78" t="s">
        <v>161</v>
      </c>
      <c r="J78" t="s">
        <v>50</v>
      </c>
      <c r="L78">
        <v>-64</v>
      </c>
      <c r="M78">
        <v>-64</v>
      </c>
      <c r="Q78">
        <v>298.95</v>
      </c>
      <c r="R78">
        <v>-39.093017580000001</v>
      </c>
      <c r="S78">
        <v>-39.093017580000001</v>
      </c>
    </row>
    <row r="79" spans="1:23">
      <c r="A79" s="2">
        <v>46036</v>
      </c>
      <c r="B79" t="s">
        <v>44</v>
      </c>
      <c r="C79">
        <v>64057</v>
      </c>
      <c r="D79">
        <v>1597</v>
      </c>
      <c r="F79" t="s">
        <v>65</v>
      </c>
      <c r="G79" t="s">
        <v>57</v>
      </c>
      <c r="H79" t="s">
        <v>48</v>
      </c>
      <c r="I79" t="s">
        <v>162</v>
      </c>
      <c r="J79" t="s">
        <v>50</v>
      </c>
      <c r="L79">
        <v>-65</v>
      </c>
      <c r="M79">
        <v>-65</v>
      </c>
      <c r="Q79">
        <v>298.95</v>
      </c>
      <c r="R79">
        <v>-49.95727539</v>
      </c>
      <c r="S79">
        <v>-49.95727539</v>
      </c>
    </row>
    <row r="80" spans="1:23" s="19" customFormat="1">
      <c r="A80" s="20">
        <v>46036</v>
      </c>
      <c r="B80" s="19" t="s">
        <v>44</v>
      </c>
      <c r="C80" s="19">
        <v>64058</v>
      </c>
      <c r="D80" s="19">
        <v>1598</v>
      </c>
      <c r="F80" s="19" t="s">
        <v>65</v>
      </c>
      <c r="G80" s="19" t="s">
        <v>57</v>
      </c>
      <c r="H80" s="19" t="s">
        <v>54</v>
      </c>
      <c r="I80" s="19" t="s">
        <v>164</v>
      </c>
      <c r="J80" s="19" t="s">
        <v>50</v>
      </c>
      <c r="L80" s="19">
        <v>-51</v>
      </c>
      <c r="Q80" s="19">
        <v>298.95</v>
      </c>
      <c r="R80" s="19">
        <v>-53.924560550000002</v>
      </c>
      <c r="V80" s="19" t="s">
        <v>70</v>
      </c>
      <c r="W80" s="19" t="s">
        <v>75</v>
      </c>
    </row>
    <row r="81" spans="1:23">
      <c r="A81" s="2">
        <v>46036</v>
      </c>
      <c r="B81" t="s">
        <v>44</v>
      </c>
      <c r="C81">
        <v>64058</v>
      </c>
      <c r="D81">
        <v>1599</v>
      </c>
      <c r="F81" t="s">
        <v>65</v>
      </c>
      <c r="G81" t="s">
        <v>57</v>
      </c>
      <c r="H81" t="s">
        <v>54</v>
      </c>
      <c r="I81" t="s">
        <v>166</v>
      </c>
      <c r="J81" t="s">
        <v>50</v>
      </c>
      <c r="L81">
        <v>-55</v>
      </c>
      <c r="M81">
        <v>-55</v>
      </c>
      <c r="Q81">
        <v>298.89999999999998</v>
      </c>
      <c r="R81">
        <v>-37.93334961</v>
      </c>
      <c r="S81">
        <v>-37.93334961</v>
      </c>
    </row>
    <row r="82" spans="1:23">
      <c r="A82" s="2">
        <v>46036</v>
      </c>
      <c r="B82" t="s">
        <v>44</v>
      </c>
      <c r="C82">
        <v>64058</v>
      </c>
      <c r="D82">
        <v>1600</v>
      </c>
      <c r="F82" t="s">
        <v>65</v>
      </c>
      <c r="G82" t="s">
        <v>57</v>
      </c>
      <c r="H82" t="s">
        <v>54</v>
      </c>
      <c r="I82" t="s">
        <v>168</v>
      </c>
      <c r="J82" t="s">
        <v>50</v>
      </c>
      <c r="L82">
        <v>-55</v>
      </c>
      <c r="M82">
        <v>-55</v>
      </c>
      <c r="Q82">
        <v>298.8</v>
      </c>
      <c r="R82">
        <v>-46.478271479999997</v>
      </c>
      <c r="S82">
        <v>-46.478271479999997</v>
      </c>
    </row>
    <row r="83" spans="1:23">
      <c r="A83" s="2">
        <v>46037</v>
      </c>
      <c r="B83" t="s">
        <v>158</v>
      </c>
      <c r="C83">
        <v>64067</v>
      </c>
      <c r="D83">
        <v>1601</v>
      </c>
      <c r="F83" t="s">
        <v>46</v>
      </c>
      <c r="G83" t="s">
        <v>47</v>
      </c>
      <c r="H83" t="s">
        <v>54</v>
      </c>
      <c r="J83" t="s">
        <v>50</v>
      </c>
      <c r="L83">
        <v>-46</v>
      </c>
      <c r="M83">
        <v>-46</v>
      </c>
      <c r="Q83">
        <v>298.89999999999998</v>
      </c>
      <c r="R83">
        <v>-22.338867189999998</v>
      </c>
      <c r="S83">
        <v>-22.338867189999998</v>
      </c>
    </row>
    <row r="84" spans="1:23">
      <c r="A84" s="2">
        <v>46037</v>
      </c>
      <c r="B84" t="s">
        <v>69</v>
      </c>
      <c r="C84">
        <v>64067</v>
      </c>
      <c r="D84">
        <v>1602</v>
      </c>
      <c r="F84" t="s">
        <v>46</v>
      </c>
      <c r="G84" t="s">
        <v>47</v>
      </c>
      <c r="H84" t="s">
        <v>54</v>
      </c>
      <c r="I84" t="s">
        <v>169</v>
      </c>
      <c r="J84" t="s">
        <v>50</v>
      </c>
      <c r="L84">
        <v>-55</v>
      </c>
      <c r="M84">
        <v>-55</v>
      </c>
      <c r="Q84">
        <v>299</v>
      </c>
      <c r="R84">
        <v>-46.356201169999999</v>
      </c>
      <c r="S84">
        <v>-46.356201169999999</v>
      </c>
    </row>
    <row r="85" spans="1:23">
      <c r="A85" s="2">
        <v>46037</v>
      </c>
      <c r="B85" t="s">
        <v>69</v>
      </c>
      <c r="C85">
        <v>64068</v>
      </c>
      <c r="D85">
        <v>1603</v>
      </c>
      <c r="F85" t="s">
        <v>46</v>
      </c>
      <c r="G85" t="s">
        <v>47</v>
      </c>
      <c r="H85" t="s">
        <v>48</v>
      </c>
      <c r="I85" t="s">
        <v>171</v>
      </c>
      <c r="J85" t="s">
        <v>50</v>
      </c>
      <c r="L85">
        <v>-56</v>
      </c>
      <c r="M85">
        <v>-56</v>
      </c>
      <c r="Q85">
        <v>298.95</v>
      </c>
      <c r="R85">
        <v>-43.640136720000001</v>
      </c>
      <c r="S85">
        <v>-43.640136720000001</v>
      </c>
    </row>
    <row r="86" spans="1:23">
      <c r="A86" s="2">
        <v>46037</v>
      </c>
      <c r="B86" t="s">
        <v>69</v>
      </c>
      <c r="C86">
        <v>64068</v>
      </c>
      <c r="D86">
        <v>1604</v>
      </c>
      <c r="F86" t="s">
        <v>46</v>
      </c>
      <c r="G86" t="s">
        <v>47</v>
      </c>
      <c r="H86" t="s">
        <v>48</v>
      </c>
      <c r="I86" t="s">
        <v>173</v>
      </c>
      <c r="J86" t="s">
        <v>50</v>
      </c>
      <c r="L86">
        <v>-64</v>
      </c>
      <c r="M86">
        <v>-64</v>
      </c>
      <c r="Q86">
        <v>298.89999999999998</v>
      </c>
      <c r="R86">
        <v>-45.959472660000003</v>
      </c>
      <c r="S86">
        <v>-45.959472660000003</v>
      </c>
    </row>
    <row r="87" spans="1:23">
      <c r="A87" s="2">
        <v>46038</v>
      </c>
      <c r="B87" t="s">
        <v>90</v>
      </c>
      <c r="C87">
        <v>64061</v>
      </c>
      <c r="D87">
        <v>1605</v>
      </c>
      <c r="F87" t="s">
        <v>65</v>
      </c>
      <c r="G87" t="s">
        <v>57</v>
      </c>
      <c r="H87" t="s">
        <v>48</v>
      </c>
      <c r="I87" t="s">
        <v>175</v>
      </c>
      <c r="J87" t="s">
        <v>50</v>
      </c>
      <c r="L87">
        <v>-52</v>
      </c>
      <c r="M87">
        <v>-52</v>
      </c>
      <c r="Q87">
        <v>298.89999999999998</v>
      </c>
      <c r="R87">
        <v>-45.806884770000003</v>
      </c>
      <c r="S87">
        <v>-45.806884770000003</v>
      </c>
    </row>
    <row r="88" spans="1:23">
      <c r="A88" s="2">
        <v>46038</v>
      </c>
      <c r="B88" t="s">
        <v>44</v>
      </c>
      <c r="C88">
        <v>64061</v>
      </c>
      <c r="D88">
        <v>1606</v>
      </c>
      <c r="F88" t="s">
        <v>65</v>
      </c>
      <c r="G88" t="s">
        <v>57</v>
      </c>
      <c r="H88" t="s">
        <v>48</v>
      </c>
      <c r="I88" t="s">
        <v>151</v>
      </c>
      <c r="J88" t="s">
        <v>50</v>
      </c>
      <c r="L88">
        <v>-63</v>
      </c>
      <c r="M88">
        <v>-63</v>
      </c>
      <c r="Q88">
        <v>299</v>
      </c>
      <c r="R88">
        <v>-42.419433589999997</v>
      </c>
      <c r="S88">
        <v>-42.419433589999997</v>
      </c>
    </row>
    <row r="89" spans="1:23">
      <c r="A89" s="2">
        <v>46038</v>
      </c>
      <c r="B89" t="s">
        <v>90</v>
      </c>
      <c r="C89">
        <v>64061</v>
      </c>
      <c r="D89">
        <v>1607</v>
      </c>
      <c r="F89" t="s">
        <v>65</v>
      </c>
      <c r="G89" t="s">
        <v>57</v>
      </c>
      <c r="H89" t="s">
        <v>48</v>
      </c>
      <c r="J89" t="s">
        <v>50</v>
      </c>
      <c r="L89">
        <v>-52</v>
      </c>
      <c r="M89">
        <v>-52</v>
      </c>
      <c r="Q89">
        <v>298.95</v>
      </c>
      <c r="R89">
        <v>-49.194335940000002</v>
      </c>
      <c r="S89">
        <v>-49.194335940000002</v>
      </c>
    </row>
    <row r="90" spans="1:23">
      <c r="A90" s="2">
        <v>46038</v>
      </c>
      <c r="B90" t="s">
        <v>90</v>
      </c>
      <c r="C90">
        <v>64062</v>
      </c>
      <c r="D90">
        <v>1608</v>
      </c>
      <c r="F90" t="s">
        <v>65</v>
      </c>
      <c r="G90" t="s">
        <v>57</v>
      </c>
      <c r="H90" t="s">
        <v>54</v>
      </c>
      <c r="J90" t="s">
        <v>50</v>
      </c>
      <c r="L90">
        <v>-48</v>
      </c>
      <c r="M90">
        <v>-48</v>
      </c>
      <c r="Q90">
        <v>299.14999999999998</v>
      </c>
      <c r="R90">
        <v>-36.315917970000001</v>
      </c>
      <c r="S90">
        <v>-36.315917970000001</v>
      </c>
    </row>
    <row r="91" spans="1:23">
      <c r="A91" s="2">
        <v>46038</v>
      </c>
      <c r="B91" t="s">
        <v>44</v>
      </c>
      <c r="C91">
        <v>64062</v>
      </c>
      <c r="D91">
        <v>1609</v>
      </c>
      <c r="F91" t="s">
        <v>65</v>
      </c>
      <c r="G91" t="s">
        <v>57</v>
      </c>
      <c r="H91" t="s">
        <v>54</v>
      </c>
      <c r="J91" t="s">
        <v>50</v>
      </c>
      <c r="L91">
        <v>-72</v>
      </c>
      <c r="M91">
        <v>-72</v>
      </c>
      <c r="Q91">
        <v>298.85000000000002</v>
      </c>
      <c r="R91">
        <v>-52.612304690000002</v>
      </c>
      <c r="S91">
        <v>-52.612304690000002</v>
      </c>
    </row>
    <row r="92" spans="1:23" s="19" customFormat="1">
      <c r="A92" s="20">
        <v>46038</v>
      </c>
      <c r="B92" s="19" t="s">
        <v>90</v>
      </c>
      <c r="C92" s="19">
        <v>64062</v>
      </c>
      <c r="D92" s="19">
        <v>1610</v>
      </c>
      <c r="F92" s="19" t="s">
        <v>65</v>
      </c>
      <c r="G92" s="19" t="s">
        <v>57</v>
      </c>
      <c r="H92" s="19" t="s">
        <v>54</v>
      </c>
      <c r="J92" s="19" t="s">
        <v>50</v>
      </c>
      <c r="L92" s="19">
        <v>-48</v>
      </c>
      <c r="Q92" s="19">
        <v>298.39999999999998</v>
      </c>
      <c r="R92" s="19">
        <v>-58.59375</v>
      </c>
      <c r="V92" s="19" t="s">
        <v>70</v>
      </c>
      <c r="W92" s="19" t="s">
        <v>75</v>
      </c>
    </row>
    <row r="93" spans="1:23" s="19" customFormat="1">
      <c r="A93" s="20">
        <v>46038</v>
      </c>
      <c r="B93" s="19" t="s">
        <v>158</v>
      </c>
      <c r="C93" s="19">
        <v>64061</v>
      </c>
      <c r="D93" s="19">
        <v>1611</v>
      </c>
      <c r="F93" s="19" t="s">
        <v>65</v>
      </c>
      <c r="G93" s="19" t="s">
        <v>57</v>
      </c>
      <c r="H93" s="19" t="s">
        <v>48</v>
      </c>
      <c r="J93" s="19" t="s">
        <v>50</v>
      </c>
      <c r="L93" s="19">
        <v>-33</v>
      </c>
      <c r="Q93" s="19">
        <v>298.39999999999998</v>
      </c>
      <c r="R93" s="19">
        <v>-58.59375</v>
      </c>
      <c r="V93" s="19" t="s">
        <v>70</v>
      </c>
      <c r="W93" s="19" t="s">
        <v>75</v>
      </c>
    </row>
    <row r="94" spans="1:23" s="19" customFormat="1">
      <c r="A94" s="20">
        <v>46038</v>
      </c>
      <c r="B94" s="19" t="s">
        <v>90</v>
      </c>
      <c r="C94" s="19">
        <v>64062</v>
      </c>
      <c r="D94" s="19">
        <v>1612</v>
      </c>
      <c r="F94" s="19" t="s">
        <v>65</v>
      </c>
      <c r="G94" s="19" t="s">
        <v>57</v>
      </c>
      <c r="H94" s="19" t="s">
        <v>54</v>
      </c>
      <c r="J94" s="19" t="s">
        <v>50</v>
      </c>
      <c r="L94" s="19">
        <v>-58</v>
      </c>
      <c r="M94" s="19">
        <v>-58</v>
      </c>
      <c r="Q94" s="19">
        <v>297.60000000000002</v>
      </c>
      <c r="R94" s="19">
        <v>-31.677246090000001</v>
      </c>
      <c r="S94" s="19">
        <v>-31.677246090000001</v>
      </c>
      <c r="V94" s="19" t="s">
        <v>70</v>
      </c>
      <c r="W94" s="19" t="s">
        <v>89</v>
      </c>
    </row>
    <row r="95" spans="1:23" s="19" customFormat="1">
      <c r="A95" s="20">
        <v>46038</v>
      </c>
      <c r="B95" s="19" t="s">
        <v>44</v>
      </c>
      <c r="C95" s="19">
        <v>64062</v>
      </c>
      <c r="D95" s="19">
        <v>1613</v>
      </c>
      <c r="F95" s="19" t="s">
        <v>65</v>
      </c>
      <c r="G95" s="19" t="s">
        <v>57</v>
      </c>
      <c r="H95" s="19" t="s">
        <v>54</v>
      </c>
      <c r="I95" s="19" t="s">
        <v>182</v>
      </c>
      <c r="L95" s="19">
        <v>-68</v>
      </c>
      <c r="Q95" s="19">
        <v>298.39999999999998</v>
      </c>
      <c r="R95" s="19">
        <v>-74.981689450000005</v>
      </c>
      <c r="V95" s="19" t="s">
        <v>70</v>
      </c>
      <c r="W95" s="19" t="s">
        <v>75</v>
      </c>
    </row>
    <row r="96" spans="1:23" s="19" customFormat="1">
      <c r="A96" s="20">
        <v>46042</v>
      </c>
      <c r="B96" s="19" t="s">
        <v>69</v>
      </c>
      <c r="C96" s="19">
        <v>64069</v>
      </c>
      <c r="D96" s="19">
        <v>1614</v>
      </c>
      <c r="F96" s="19" t="s">
        <v>46</v>
      </c>
      <c r="G96" s="19" t="s">
        <v>57</v>
      </c>
      <c r="H96" s="19" t="s">
        <v>54</v>
      </c>
      <c r="I96" s="19" t="s">
        <v>183</v>
      </c>
      <c r="J96" s="19" t="s">
        <v>80</v>
      </c>
      <c r="L96" s="19">
        <v>-60</v>
      </c>
      <c r="M96" s="19">
        <v>-60</v>
      </c>
      <c r="Q96" s="19">
        <v>299.55</v>
      </c>
      <c r="R96" s="19">
        <v>-51.147460940000002</v>
      </c>
      <c r="S96" s="19">
        <v>-51.147460940000002</v>
      </c>
      <c r="V96" s="19" t="s">
        <v>70</v>
      </c>
      <c r="W96" s="19" t="s">
        <v>80</v>
      </c>
    </row>
    <row r="97" spans="1:23">
      <c r="A97" s="2">
        <v>46042</v>
      </c>
      <c r="B97" t="s">
        <v>90</v>
      </c>
      <c r="C97">
        <v>64069</v>
      </c>
      <c r="D97">
        <v>1615</v>
      </c>
      <c r="F97" t="s">
        <v>46</v>
      </c>
      <c r="G97" t="s">
        <v>57</v>
      </c>
      <c r="H97" t="s">
        <v>54</v>
      </c>
      <c r="J97" t="s">
        <v>50</v>
      </c>
      <c r="L97">
        <v>-65</v>
      </c>
      <c r="M97">
        <v>-65</v>
      </c>
      <c r="Q97">
        <v>298.75</v>
      </c>
      <c r="R97">
        <v>-51.086425779999999</v>
      </c>
      <c r="S97">
        <v>-51.086425779999999</v>
      </c>
    </row>
    <row r="98" spans="1:23">
      <c r="A98" s="2">
        <v>46042</v>
      </c>
      <c r="B98" t="s">
        <v>90</v>
      </c>
      <c r="C98">
        <v>64069</v>
      </c>
      <c r="D98">
        <v>1616</v>
      </c>
      <c r="F98" t="s">
        <v>46</v>
      </c>
      <c r="G98" t="s">
        <v>57</v>
      </c>
      <c r="H98" t="s">
        <v>54</v>
      </c>
      <c r="J98" t="s">
        <v>50</v>
      </c>
      <c r="L98">
        <v>-50</v>
      </c>
      <c r="M98">
        <v>-50</v>
      </c>
      <c r="Q98">
        <v>299.10000000000002</v>
      </c>
      <c r="R98">
        <v>-47.088623050000002</v>
      </c>
      <c r="S98">
        <v>-47.088623050000002</v>
      </c>
    </row>
    <row r="99" spans="1:23" s="19" customFormat="1">
      <c r="A99" s="20">
        <v>46042</v>
      </c>
      <c r="B99" s="19" t="s">
        <v>90</v>
      </c>
      <c r="C99" s="19">
        <v>64069</v>
      </c>
      <c r="D99" s="19">
        <v>1617</v>
      </c>
      <c r="F99" s="19" t="s">
        <v>46</v>
      </c>
      <c r="G99" s="19" t="s">
        <v>57</v>
      </c>
      <c r="H99" s="19" t="s">
        <v>54</v>
      </c>
      <c r="J99" s="19" t="s">
        <v>50</v>
      </c>
      <c r="L99" s="19">
        <v>-57</v>
      </c>
      <c r="M99" s="19">
        <v>-57</v>
      </c>
      <c r="Q99" s="19">
        <v>299.3</v>
      </c>
      <c r="R99" s="19">
        <v>-53.649902339999997</v>
      </c>
      <c r="S99" s="19">
        <v>-53.649902339999997</v>
      </c>
    </row>
    <row r="100" spans="1:23" s="19" customFormat="1">
      <c r="A100" s="20">
        <v>46042</v>
      </c>
      <c r="B100" s="19" t="s">
        <v>90</v>
      </c>
      <c r="C100" s="19">
        <v>64070</v>
      </c>
      <c r="D100" s="19">
        <v>1618</v>
      </c>
      <c r="F100" s="19" t="s">
        <v>46</v>
      </c>
      <c r="G100" s="19" t="s">
        <v>57</v>
      </c>
      <c r="H100" s="19" t="s">
        <v>54</v>
      </c>
      <c r="I100" s="19" t="s">
        <v>185</v>
      </c>
      <c r="J100" s="19" t="s">
        <v>50</v>
      </c>
      <c r="L100" s="19">
        <v>-44</v>
      </c>
      <c r="Q100" s="19">
        <v>298.95</v>
      </c>
      <c r="R100" s="19">
        <v>-48.431396479999997</v>
      </c>
      <c r="V100" s="19" t="s">
        <v>70</v>
      </c>
      <c r="W100" s="19" t="s">
        <v>75</v>
      </c>
    </row>
    <row r="101" spans="1:23">
      <c r="A101" s="2">
        <v>46042</v>
      </c>
      <c r="B101" t="s">
        <v>90</v>
      </c>
      <c r="C101">
        <v>64070</v>
      </c>
      <c r="D101">
        <v>1619</v>
      </c>
      <c r="F101" t="s">
        <v>46</v>
      </c>
      <c r="G101" t="s">
        <v>57</v>
      </c>
      <c r="H101" t="s">
        <v>48</v>
      </c>
      <c r="I101" t="s">
        <v>187</v>
      </c>
      <c r="J101" t="s">
        <v>50</v>
      </c>
      <c r="L101">
        <v>-66</v>
      </c>
      <c r="M101">
        <v>-66</v>
      </c>
      <c r="Q101">
        <v>298.85000000000002</v>
      </c>
      <c r="R101">
        <v>-47.302246089999997</v>
      </c>
      <c r="S101">
        <v>-47.302246089999997</v>
      </c>
    </row>
    <row r="102" spans="1:23">
      <c r="A102" s="2">
        <v>46043</v>
      </c>
      <c r="B102" t="s">
        <v>90</v>
      </c>
      <c r="C102">
        <v>64290</v>
      </c>
      <c r="D102">
        <v>1620</v>
      </c>
      <c r="F102" t="s">
        <v>46</v>
      </c>
      <c r="G102" t="s">
        <v>47</v>
      </c>
      <c r="H102" t="s">
        <v>48</v>
      </c>
      <c r="J102" t="s">
        <v>50</v>
      </c>
      <c r="L102">
        <v>-60</v>
      </c>
      <c r="M102">
        <v>-60</v>
      </c>
      <c r="Q102">
        <v>299</v>
      </c>
      <c r="R102">
        <v>-40.405273440000002</v>
      </c>
      <c r="S102">
        <v>-40.405273440000002</v>
      </c>
    </row>
    <row r="103" spans="1:23">
      <c r="A103" s="2">
        <v>46043</v>
      </c>
      <c r="B103" t="s">
        <v>44</v>
      </c>
      <c r="C103">
        <v>64290</v>
      </c>
      <c r="D103">
        <v>1621</v>
      </c>
      <c r="F103" t="s">
        <v>46</v>
      </c>
      <c r="G103" t="s">
        <v>47</v>
      </c>
      <c r="H103" t="s">
        <v>48</v>
      </c>
      <c r="I103" t="s">
        <v>190</v>
      </c>
      <c r="J103" t="s">
        <v>50</v>
      </c>
      <c r="L103">
        <v>-65</v>
      </c>
      <c r="M103">
        <v>-65</v>
      </c>
      <c r="Q103">
        <v>298.95</v>
      </c>
      <c r="R103">
        <v>-46.325683589999997</v>
      </c>
      <c r="S103">
        <v>-46.325683589999997</v>
      </c>
    </row>
    <row r="104" spans="1:23" s="19" customFormat="1">
      <c r="A104" s="20">
        <v>46043</v>
      </c>
      <c r="B104" s="19" t="s">
        <v>90</v>
      </c>
      <c r="C104" s="19">
        <v>64290</v>
      </c>
      <c r="D104" s="19">
        <v>1622</v>
      </c>
      <c r="F104" s="19" t="s">
        <v>46</v>
      </c>
      <c r="G104" s="19" t="s">
        <v>47</v>
      </c>
      <c r="H104" s="19" t="s">
        <v>48</v>
      </c>
      <c r="J104" s="19" t="s">
        <v>80</v>
      </c>
      <c r="L104" s="19">
        <v>-55</v>
      </c>
      <c r="M104" s="19">
        <v>-55</v>
      </c>
      <c r="Q104" s="19">
        <v>299.10000000000002</v>
      </c>
      <c r="R104" s="19">
        <v>-36.407470699999998</v>
      </c>
      <c r="S104" s="19">
        <v>-36.407470699999998</v>
      </c>
      <c r="V104" s="19" t="s">
        <v>146</v>
      </c>
    </row>
    <row r="105" spans="1:23">
      <c r="A105" s="2">
        <v>46043</v>
      </c>
      <c r="B105" t="s">
        <v>44</v>
      </c>
      <c r="C105">
        <v>64290</v>
      </c>
      <c r="D105">
        <v>1623</v>
      </c>
      <c r="F105" t="s">
        <v>46</v>
      </c>
      <c r="G105" t="s">
        <v>47</v>
      </c>
      <c r="H105" t="s">
        <v>48</v>
      </c>
      <c r="I105" t="s">
        <v>192</v>
      </c>
      <c r="J105" t="s">
        <v>50</v>
      </c>
      <c r="L105">
        <v>-54</v>
      </c>
      <c r="M105">
        <v>-54</v>
      </c>
      <c r="Q105">
        <v>298.95</v>
      </c>
      <c r="R105">
        <v>-46.295166020000003</v>
      </c>
      <c r="S105">
        <v>-46.295166020000003</v>
      </c>
    </row>
    <row r="106" spans="1:23">
      <c r="A106" s="2">
        <v>46043</v>
      </c>
      <c r="B106" t="s">
        <v>44</v>
      </c>
      <c r="C106">
        <v>64290</v>
      </c>
      <c r="D106">
        <v>1624</v>
      </c>
      <c r="F106" t="s">
        <v>46</v>
      </c>
      <c r="G106" t="s">
        <v>47</v>
      </c>
      <c r="H106" t="s">
        <v>48</v>
      </c>
      <c r="I106" t="s">
        <v>193</v>
      </c>
      <c r="J106" t="s">
        <v>50</v>
      </c>
      <c r="L106">
        <v>-62</v>
      </c>
      <c r="M106">
        <v>-62</v>
      </c>
      <c r="Q106">
        <v>298.95</v>
      </c>
      <c r="R106">
        <v>-41.229248050000002</v>
      </c>
      <c r="S106">
        <v>-41.229248050000002</v>
      </c>
    </row>
    <row r="107" spans="1:23" s="19" customFormat="1">
      <c r="A107" s="20">
        <v>46043</v>
      </c>
      <c r="B107" s="19" t="s">
        <v>90</v>
      </c>
      <c r="C107" s="19">
        <v>64291</v>
      </c>
      <c r="D107" s="19">
        <v>1625</v>
      </c>
      <c r="F107" s="19" t="s">
        <v>46</v>
      </c>
      <c r="G107" s="19" t="s">
        <v>47</v>
      </c>
      <c r="H107" s="19" t="s">
        <v>54</v>
      </c>
      <c r="J107" s="19" t="s">
        <v>50</v>
      </c>
      <c r="L107" s="19">
        <v>-55</v>
      </c>
      <c r="M107" s="19">
        <v>-55</v>
      </c>
      <c r="Q107" s="19">
        <v>298.95</v>
      </c>
      <c r="R107" s="19">
        <v>-49.926757809999998</v>
      </c>
      <c r="S107" s="19">
        <v>-49.926757809999998</v>
      </c>
      <c r="V107" s="19" t="s">
        <v>146</v>
      </c>
    </row>
    <row r="108" spans="1:23">
      <c r="A108" s="2">
        <v>46043</v>
      </c>
      <c r="B108" t="s">
        <v>44</v>
      </c>
      <c r="C108">
        <v>64291</v>
      </c>
      <c r="D108">
        <v>1626</v>
      </c>
      <c r="F108" t="s">
        <v>46</v>
      </c>
      <c r="G108" t="s">
        <v>47</v>
      </c>
      <c r="H108" t="s">
        <v>54</v>
      </c>
      <c r="I108" t="s">
        <v>195</v>
      </c>
      <c r="J108" t="s">
        <v>50</v>
      </c>
      <c r="L108">
        <v>-60</v>
      </c>
      <c r="M108">
        <v>-60</v>
      </c>
      <c r="Q108">
        <v>299</v>
      </c>
      <c r="R108">
        <v>-41.564941410000003</v>
      </c>
      <c r="S108">
        <v>-41.564941410000003</v>
      </c>
    </row>
    <row r="109" spans="1:23">
      <c r="A109" s="2">
        <v>46043</v>
      </c>
      <c r="B109" t="s">
        <v>90</v>
      </c>
      <c r="C109">
        <v>64291</v>
      </c>
      <c r="D109">
        <v>1627</v>
      </c>
      <c r="F109" t="s">
        <v>46</v>
      </c>
      <c r="G109" t="s">
        <v>47</v>
      </c>
      <c r="H109" t="s">
        <v>54</v>
      </c>
      <c r="J109" t="s">
        <v>50</v>
      </c>
      <c r="L109">
        <v>-55</v>
      </c>
      <c r="M109">
        <v>-55</v>
      </c>
      <c r="Q109">
        <v>299.14999999999998</v>
      </c>
      <c r="R109">
        <v>-44.952392580000001</v>
      </c>
      <c r="S109">
        <v>-44.952392580000001</v>
      </c>
    </row>
    <row r="110" spans="1:23">
      <c r="A110" s="2">
        <v>46044</v>
      </c>
      <c r="B110" t="s">
        <v>44</v>
      </c>
      <c r="C110">
        <v>64282</v>
      </c>
      <c r="D110">
        <v>1628</v>
      </c>
      <c r="F110" t="s">
        <v>65</v>
      </c>
      <c r="G110" t="s">
        <v>57</v>
      </c>
      <c r="H110" t="s">
        <v>54</v>
      </c>
      <c r="I110" t="s">
        <v>198</v>
      </c>
      <c r="J110" t="s">
        <v>50</v>
      </c>
      <c r="L110">
        <v>-70</v>
      </c>
      <c r="M110">
        <v>-70</v>
      </c>
      <c r="Q110">
        <v>299.2</v>
      </c>
      <c r="R110">
        <v>-49.102783199999998</v>
      </c>
      <c r="S110">
        <v>-49.102783199999998</v>
      </c>
    </row>
    <row r="111" spans="1:23" s="19" customFormat="1">
      <c r="A111" s="20">
        <v>46044</v>
      </c>
      <c r="B111" s="19" t="s">
        <v>90</v>
      </c>
      <c r="C111" s="19">
        <v>64282</v>
      </c>
      <c r="D111" s="19">
        <v>1629</v>
      </c>
      <c r="F111" s="19" t="s">
        <v>65</v>
      </c>
      <c r="G111" s="19" t="s">
        <v>57</v>
      </c>
      <c r="H111" s="19" t="s">
        <v>54</v>
      </c>
      <c r="J111" s="19" t="s">
        <v>50</v>
      </c>
      <c r="L111" s="19">
        <v>-48</v>
      </c>
      <c r="M111" s="19">
        <v>-48</v>
      </c>
      <c r="Q111" s="19">
        <v>299.5</v>
      </c>
      <c r="R111" s="19">
        <v>-42.053222660000003</v>
      </c>
      <c r="S111" s="19">
        <v>-42.053222660000003</v>
      </c>
      <c r="V111" s="19" t="s">
        <v>200</v>
      </c>
    </row>
    <row r="112" spans="1:23">
      <c r="A112" s="2">
        <v>46044</v>
      </c>
      <c r="B112" t="s">
        <v>90</v>
      </c>
      <c r="C112">
        <v>64283</v>
      </c>
      <c r="D112">
        <v>1630</v>
      </c>
      <c r="F112" t="s">
        <v>65</v>
      </c>
      <c r="G112" t="s">
        <v>57</v>
      </c>
      <c r="H112" t="s">
        <v>48</v>
      </c>
      <c r="I112" t="s">
        <v>202</v>
      </c>
      <c r="J112" t="s">
        <v>50</v>
      </c>
      <c r="L112">
        <v>-62</v>
      </c>
      <c r="M112">
        <v>-62</v>
      </c>
      <c r="Q112">
        <v>299</v>
      </c>
      <c r="R112">
        <v>-47.424316410000003</v>
      </c>
      <c r="S112">
        <v>-47.424316410000003</v>
      </c>
    </row>
    <row r="113" spans="1:23">
      <c r="A113" s="2">
        <v>46044</v>
      </c>
      <c r="B113" t="s">
        <v>90</v>
      </c>
      <c r="C113">
        <v>64283</v>
      </c>
      <c r="D113">
        <v>1631</v>
      </c>
      <c r="F113" t="s">
        <v>65</v>
      </c>
      <c r="G113" t="s">
        <v>57</v>
      </c>
      <c r="H113" t="s">
        <v>48</v>
      </c>
      <c r="I113" t="s">
        <v>204</v>
      </c>
      <c r="J113" t="s">
        <v>50</v>
      </c>
      <c r="L113">
        <v>-58</v>
      </c>
      <c r="M113">
        <v>-58</v>
      </c>
      <c r="Q113">
        <v>299.10000000000002</v>
      </c>
      <c r="R113">
        <v>-38.0859375</v>
      </c>
      <c r="S113">
        <v>-38.0859375</v>
      </c>
    </row>
    <row r="114" spans="1:23">
      <c r="A114" s="2">
        <v>46044</v>
      </c>
      <c r="B114" t="s">
        <v>90</v>
      </c>
      <c r="C114">
        <v>64283</v>
      </c>
      <c r="D114">
        <v>1632</v>
      </c>
      <c r="F114" t="s">
        <v>65</v>
      </c>
      <c r="G114" t="s">
        <v>57</v>
      </c>
      <c r="H114" t="s">
        <v>48</v>
      </c>
      <c r="I114" t="s">
        <v>206</v>
      </c>
      <c r="J114" t="s">
        <v>50</v>
      </c>
      <c r="L114">
        <v>-54</v>
      </c>
      <c r="M114">
        <v>-54</v>
      </c>
      <c r="Q114">
        <v>298.85000000000002</v>
      </c>
      <c r="R114">
        <v>-41.961669919999999</v>
      </c>
      <c r="S114">
        <v>-41.961669919999999</v>
      </c>
    </row>
    <row r="115" spans="1:23" s="19" customFormat="1">
      <c r="A115" s="20">
        <v>46045</v>
      </c>
      <c r="B115" s="19" t="s">
        <v>69</v>
      </c>
      <c r="C115" s="19">
        <v>64292</v>
      </c>
      <c r="D115" s="19">
        <v>1633</v>
      </c>
      <c r="F115" s="19" t="s">
        <v>46</v>
      </c>
      <c r="G115" s="19" t="s">
        <v>57</v>
      </c>
      <c r="H115" s="19" t="s">
        <v>54</v>
      </c>
      <c r="I115" s="19" t="s">
        <v>208</v>
      </c>
      <c r="J115" s="19" t="s">
        <v>50</v>
      </c>
      <c r="L115" s="19">
        <v>-62</v>
      </c>
      <c r="M115" s="19">
        <v>-62</v>
      </c>
      <c r="Q115" s="19">
        <v>299.3</v>
      </c>
      <c r="R115" s="19">
        <v>-51.727294919999999</v>
      </c>
      <c r="S115" s="19">
        <v>-51.727294919999999</v>
      </c>
      <c r="V115" s="19" t="s">
        <v>462</v>
      </c>
    </row>
    <row r="116" spans="1:23">
      <c r="A116" s="2">
        <v>46045</v>
      </c>
      <c r="B116" t="s">
        <v>90</v>
      </c>
      <c r="C116">
        <v>64293</v>
      </c>
      <c r="D116">
        <v>1634</v>
      </c>
      <c r="F116" t="s">
        <v>46</v>
      </c>
      <c r="G116" t="s">
        <v>57</v>
      </c>
      <c r="H116" t="s">
        <v>48</v>
      </c>
      <c r="J116" t="s">
        <v>50</v>
      </c>
      <c r="L116">
        <v>-62</v>
      </c>
      <c r="M116">
        <v>-62</v>
      </c>
      <c r="Q116">
        <v>299.10000000000002</v>
      </c>
      <c r="R116">
        <v>-40.405273440000002</v>
      </c>
      <c r="S116">
        <v>-40.405273440000002</v>
      </c>
    </row>
    <row r="117" spans="1:23">
      <c r="A117" s="2">
        <v>46045</v>
      </c>
      <c r="B117" t="s">
        <v>90</v>
      </c>
      <c r="C117">
        <v>64293</v>
      </c>
      <c r="D117">
        <v>1635</v>
      </c>
      <c r="F117" t="s">
        <v>46</v>
      </c>
      <c r="G117" t="s">
        <v>57</v>
      </c>
      <c r="H117" t="s">
        <v>48</v>
      </c>
      <c r="I117" t="s">
        <v>212</v>
      </c>
      <c r="J117" t="s">
        <v>50</v>
      </c>
      <c r="L117">
        <v>-49</v>
      </c>
      <c r="M117">
        <v>-49</v>
      </c>
      <c r="Q117">
        <v>299.7</v>
      </c>
      <c r="R117">
        <v>-42.724609379999997</v>
      </c>
      <c r="S117">
        <v>-42.724609379999997</v>
      </c>
    </row>
    <row r="118" spans="1:23">
      <c r="A118" s="2">
        <v>46049</v>
      </c>
      <c r="B118" t="s">
        <v>90</v>
      </c>
      <c r="C118">
        <v>64284</v>
      </c>
      <c r="D118">
        <v>1636</v>
      </c>
      <c r="F118" t="s">
        <v>65</v>
      </c>
      <c r="G118" t="s">
        <v>57</v>
      </c>
      <c r="H118" t="s">
        <v>54</v>
      </c>
      <c r="J118" t="s">
        <v>50</v>
      </c>
      <c r="L118">
        <v>-60</v>
      </c>
      <c r="M118">
        <v>-60</v>
      </c>
      <c r="Q118">
        <v>299.25</v>
      </c>
      <c r="R118">
        <v>-41.748046879999997</v>
      </c>
      <c r="S118">
        <v>-41.748046879999997</v>
      </c>
    </row>
    <row r="119" spans="1:23">
      <c r="A119" s="2">
        <v>46049</v>
      </c>
      <c r="B119" t="s">
        <v>90</v>
      </c>
      <c r="C119">
        <v>64284</v>
      </c>
      <c r="D119">
        <v>1637</v>
      </c>
      <c r="F119" t="s">
        <v>65</v>
      </c>
      <c r="G119" t="s">
        <v>57</v>
      </c>
      <c r="H119" t="s">
        <v>54</v>
      </c>
      <c r="I119" t="s">
        <v>213</v>
      </c>
      <c r="J119" t="s">
        <v>50</v>
      </c>
      <c r="L119">
        <v>-45</v>
      </c>
      <c r="M119">
        <v>-45</v>
      </c>
      <c r="Q119">
        <v>299.05</v>
      </c>
      <c r="R119">
        <v>-41.83959961</v>
      </c>
      <c r="S119">
        <v>-41.83959961</v>
      </c>
    </row>
    <row r="120" spans="1:23">
      <c r="A120" s="2">
        <v>46049</v>
      </c>
      <c r="B120" t="s">
        <v>90</v>
      </c>
      <c r="C120">
        <v>64284</v>
      </c>
      <c r="D120">
        <v>1638</v>
      </c>
      <c r="F120" t="s">
        <v>65</v>
      </c>
      <c r="G120" t="s">
        <v>57</v>
      </c>
      <c r="H120" t="s">
        <v>54</v>
      </c>
      <c r="I120" t="s">
        <v>215</v>
      </c>
      <c r="J120" t="s">
        <v>50</v>
      </c>
      <c r="L120">
        <v>-48</v>
      </c>
      <c r="M120">
        <v>-48</v>
      </c>
      <c r="Q120">
        <v>298.89999999999998</v>
      </c>
      <c r="R120">
        <v>-25.939941409999999</v>
      </c>
      <c r="S120">
        <v>-25.939941409999999</v>
      </c>
    </row>
    <row r="121" spans="1:23">
      <c r="A121" s="2">
        <v>46049</v>
      </c>
      <c r="B121" t="s">
        <v>44</v>
      </c>
      <c r="C121">
        <v>64284</v>
      </c>
      <c r="D121">
        <v>1639</v>
      </c>
      <c r="F121" t="s">
        <v>65</v>
      </c>
      <c r="G121" t="s">
        <v>57</v>
      </c>
      <c r="H121" t="s">
        <v>54</v>
      </c>
      <c r="I121" t="s">
        <v>217</v>
      </c>
      <c r="J121" t="s">
        <v>50</v>
      </c>
      <c r="L121">
        <v>-63</v>
      </c>
      <c r="M121">
        <v>-63</v>
      </c>
      <c r="Q121">
        <v>299.05</v>
      </c>
      <c r="R121">
        <v>-40.0390625</v>
      </c>
      <c r="S121">
        <v>-40.0390625</v>
      </c>
    </row>
    <row r="122" spans="1:23">
      <c r="A122" s="2">
        <v>46049</v>
      </c>
      <c r="B122" t="s">
        <v>90</v>
      </c>
      <c r="C122">
        <v>64285</v>
      </c>
      <c r="D122">
        <v>1640</v>
      </c>
      <c r="F122" t="s">
        <v>65</v>
      </c>
      <c r="G122" t="s">
        <v>57</v>
      </c>
      <c r="H122" t="s">
        <v>48</v>
      </c>
      <c r="I122" t="s">
        <v>219</v>
      </c>
      <c r="J122" t="s">
        <v>50</v>
      </c>
      <c r="L122">
        <v>-55</v>
      </c>
      <c r="M122">
        <v>-55</v>
      </c>
      <c r="Q122">
        <v>299.2</v>
      </c>
      <c r="R122">
        <v>-45.227050779999999</v>
      </c>
      <c r="S122">
        <v>-45.227050779999999</v>
      </c>
    </row>
    <row r="123" spans="1:23">
      <c r="A123" s="2">
        <v>46049</v>
      </c>
      <c r="B123" t="s">
        <v>44</v>
      </c>
      <c r="C123">
        <v>64284</v>
      </c>
      <c r="D123">
        <v>1641</v>
      </c>
      <c r="F123" t="s">
        <v>65</v>
      </c>
      <c r="G123" t="s">
        <v>57</v>
      </c>
      <c r="H123" t="s">
        <v>54</v>
      </c>
      <c r="J123" t="s">
        <v>50</v>
      </c>
      <c r="L123">
        <v>-63</v>
      </c>
      <c r="M123">
        <v>-63</v>
      </c>
      <c r="Q123">
        <v>298.8</v>
      </c>
      <c r="R123">
        <v>-39.031982419999999</v>
      </c>
      <c r="S123">
        <v>-39.031982419999999</v>
      </c>
    </row>
    <row r="124" spans="1:23" s="19" customFormat="1">
      <c r="A124" s="20">
        <v>46049</v>
      </c>
      <c r="B124" s="19" t="s">
        <v>90</v>
      </c>
      <c r="C124" s="19">
        <v>64285</v>
      </c>
      <c r="D124" s="19">
        <v>1642</v>
      </c>
      <c r="F124" s="19" t="s">
        <v>65</v>
      </c>
      <c r="G124" s="19" t="s">
        <v>57</v>
      </c>
      <c r="H124" s="19" t="s">
        <v>48</v>
      </c>
      <c r="J124" s="19" t="s">
        <v>50</v>
      </c>
      <c r="L124" s="19">
        <v>-40</v>
      </c>
      <c r="Q124" s="19">
        <v>299.10000000000002</v>
      </c>
      <c r="R124" s="19">
        <v>-40.52734375</v>
      </c>
      <c r="V124" s="19" t="s">
        <v>70</v>
      </c>
      <c r="W124" s="19" t="s">
        <v>75</v>
      </c>
    </row>
    <row r="125" spans="1:23" s="19" customFormat="1">
      <c r="A125" s="20">
        <v>46049</v>
      </c>
      <c r="B125" s="19" t="s">
        <v>44</v>
      </c>
      <c r="C125" s="19">
        <v>64285</v>
      </c>
      <c r="D125" s="19">
        <v>1643</v>
      </c>
      <c r="F125" s="19" t="s">
        <v>65</v>
      </c>
      <c r="G125" s="19" t="s">
        <v>57</v>
      </c>
      <c r="H125" s="19" t="s">
        <v>48</v>
      </c>
      <c r="J125" s="19" t="s">
        <v>50</v>
      </c>
      <c r="L125" s="19">
        <v>-42</v>
      </c>
      <c r="Q125" s="19">
        <v>299.89999999999998</v>
      </c>
      <c r="R125" s="19">
        <v>-44.799804690000002</v>
      </c>
      <c r="V125" s="19" t="s">
        <v>70</v>
      </c>
      <c r="W125" s="19" t="s">
        <v>75</v>
      </c>
    </row>
    <row r="126" spans="1:23" s="19" customFormat="1">
      <c r="A126" s="20">
        <v>46049</v>
      </c>
      <c r="B126" s="19" t="s">
        <v>44</v>
      </c>
      <c r="C126" s="19">
        <v>64285</v>
      </c>
      <c r="D126" s="19">
        <v>1644</v>
      </c>
      <c r="F126" s="19" t="s">
        <v>65</v>
      </c>
      <c r="G126" s="19" t="s">
        <v>57</v>
      </c>
      <c r="H126" s="19" t="s">
        <v>48</v>
      </c>
      <c r="I126" s="19" t="s">
        <v>222</v>
      </c>
      <c r="J126" s="19" t="s">
        <v>50</v>
      </c>
      <c r="L126" s="19">
        <v>-53</v>
      </c>
      <c r="M126" s="19">
        <v>-53</v>
      </c>
      <c r="Q126" s="19">
        <v>298.95</v>
      </c>
      <c r="R126" s="19">
        <v>-36.46850586</v>
      </c>
      <c r="S126" s="19">
        <v>-36.46850586</v>
      </c>
    </row>
    <row r="127" spans="1:23">
      <c r="A127" s="2">
        <v>46050</v>
      </c>
      <c r="B127" t="s">
        <v>44</v>
      </c>
      <c r="C127">
        <v>64286</v>
      </c>
      <c r="D127">
        <v>1645</v>
      </c>
      <c r="F127" t="s">
        <v>65</v>
      </c>
      <c r="G127" t="s">
        <v>47</v>
      </c>
      <c r="H127" t="s">
        <v>48</v>
      </c>
      <c r="I127" t="s">
        <v>224</v>
      </c>
      <c r="J127" t="s">
        <v>50</v>
      </c>
      <c r="L127">
        <v>-64</v>
      </c>
      <c r="M127">
        <v>-64</v>
      </c>
      <c r="Q127">
        <v>298.75</v>
      </c>
      <c r="R127">
        <v>-49.95727539</v>
      </c>
      <c r="S127">
        <v>-49.95727539</v>
      </c>
    </row>
    <row r="128" spans="1:23" s="19" customFormat="1">
      <c r="A128" s="20">
        <v>46050</v>
      </c>
      <c r="B128" s="19" t="s">
        <v>90</v>
      </c>
      <c r="C128" s="19">
        <v>64286</v>
      </c>
      <c r="D128" s="19">
        <v>1646</v>
      </c>
      <c r="F128" s="19" t="s">
        <v>65</v>
      </c>
      <c r="G128" s="19" t="s">
        <v>47</v>
      </c>
      <c r="H128" s="19" t="s">
        <v>48</v>
      </c>
      <c r="J128" s="19" t="s">
        <v>50</v>
      </c>
      <c r="L128" s="19">
        <v>-42</v>
      </c>
      <c r="Q128" s="19">
        <v>298.89999999999998</v>
      </c>
      <c r="R128" s="19">
        <v>-45.07446289</v>
      </c>
      <c r="V128" s="19" t="s">
        <v>70</v>
      </c>
      <c r="W128" s="19" t="s">
        <v>75</v>
      </c>
    </row>
    <row r="129" spans="1:23">
      <c r="A129" s="2">
        <v>46050</v>
      </c>
      <c r="B129" t="s">
        <v>44</v>
      </c>
      <c r="C129">
        <v>64286</v>
      </c>
      <c r="D129">
        <v>1647</v>
      </c>
      <c r="F129" t="s">
        <v>65</v>
      </c>
      <c r="G129" t="s">
        <v>47</v>
      </c>
      <c r="H129" t="s">
        <v>48</v>
      </c>
      <c r="I129" t="s">
        <v>225</v>
      </c>
      <c r="J129" t="s">
        <v>50</v>
      </c>
      <c r="L129">
        <v>-46</v>
      </c>
      <c r="M129">
        <v>-46</v>
      </c>
      <c r="Q129">
        <v>298.95</v>
      </c>
      <c r="R129">
        <v>-45.654296879999997</v>
      </c>
      <c r="S129">
        <v>-45.654296879999997</v>
      </c>
    </row>
    <row r="130" spans="1:23">
      <c r="A130" s="2">
        <v>46050</v>
      </c>
      <c r="B130" t="s">
        <v>44</v>
      </c>
      <c r="C130">
        <v>64286</v>
      </c>
      <c r="D130">
        <v>1648</v>
      </c>
      <c r="F130" t="s">
        <v>65</v>
      </c>
      <c r="G130" t="s">
        <v>47</v>
      </c>
      <c r="H130" t="s">
        <v>48</v>
      </c>
      <c r="I130" t="s">
        <v>226</v>
      </c>
      <c r="J130" t="s">
        <v>50</v>
      </c>
      <c r="L130">
        <v>-67</v>
      </c>
      <c r="M130">
        <v>-67</v>
      </c>
      <c r="Q130">
        <v>298.95</v>
      </c>
      <c r="R130">
        <v>-41.931152339999997</v>
      </c>
      <c r="S130">
        <v>-41.931152339999997</v>
      </c>
    </row>
    <row r="131" spans="1:23">
      <c r="A131" s="2">
        <v>46050</v>
      </c>
      <c r="B131" t="s">
        <v>90</v>
      </c>
      <c r="C131">
        <v>64286</v>
      </c>
      <c r="D131">
        <v>1649</v>
      </c>
      <c r="F131" t="s">
        <v>65</v>
      </c>
      <c r="G131" t="s">
        <v>47</v>
      </c>
      <c r="H131" t="s">
        <v>48</v>
      </c>
      <c r="I131" t="s">
        <v>227</v>
      </c>
      <c r="J131" t="s">
        <v>50</v>
      </c>
      <c r="L131">
        <v>-69</v>
      </c>
      <c r="M131">
        <v>-69</v>
      </c>
      <c r="Q131">
        <v>298.95</v>
      </c>
      <c r="R131">
        <v>-39.764404300000002</v>
      </c>
      <c r="S131">
        <v>-39.764404300000002</v>
      </c>
    </row>
    <row r="132" spans="1:23">
      <c r="A132" s="2">
        <v>46050</v>
      </c>
      <c r="B132" t="s">
        <v>90</v>
      </c>
      <c r="C132">
        <v>64287</v>
      </c>
      <c r="D132">
        <v>1650</v>
      </c>
      <c r="F132" t="s">
        <v>65</v>
      </c>
      <c r="G132" t="s">
        <v>47</v>
      </c>
      <c r="H132" t="s">
        <v>54</v>
      </c>
      <c r="J132" t="s">
        <v>50</v>
      </c>
      <c r="L132">
        <v>-59</v>
      </c>
      <c r="M132">
        <v>-59</v>
      </c>
      <c r="Q132">
        <v>298.95</v>
      </c>
      <c r="R132">
        <v>-46.844482419999999</v>
      </c>
      <c r="S132">
        <v>-46.844482419999999</v>
      </c>
    </row>
    <row r="133" spans="1:23">
      <c r="A133" s="2">
        <v>46050</v>
      </c>
      <c r="B133" t="s">
        <v>90</v>
      </c>
      <c r="C133">
        <v>64287</v>
      </c>
      <c r="D133">
        <v>1651</v>
      </c>
      <c r="F133" t="s">
        <v>65</v>
      </c>
      <c r="G133" t="s">
        <v>47</v>
      </c>
      <c r="H133" t="s">
        <v>54</v>
      </c>
      <c r="I133" t="s">
        <v>228</v>
      </c>
      <c r="J133" t="s">
        <v>50</v>
      </c>
      <c r="L133">
        <v>-51</v>
      </c>
      <c r="M133">
        <v>-51</v>
      </c>
      <c r="Q133">
        <v>298.85000000000002</v>
      </c>
      <c r="R133">
        <v>-36.102294919999999</v>
      </c>
      <c r="S133">
        <v>-36.102294919999999</v>
      </c>
    </row>
    <row r="134" spans="1:23">
      <c r="A134" s="2">
        <v>46051</v>
      </c>
      <c r="B134" t="s">
        <v>90</v>
      </c>
      <c r="C134">
        <v>64278</v>
      </c>
      <c r="D134">
        <v>1652</v>
      </c>
      <c r="F134" t="s">
        <v>46</v>
      </c>
      <c r="G134" t="s">
        <v>57</v>
      </c>
      <c r="H134" t="s">
        <v>54</v>
      </c>
      <c r="J134" t="s">
        <v>50</v>
      </c>
      <c r="L134">
        <v>-53</v>
      </c>
      <c r="M134">
        <v>-53</v>
      </c>
      <c r="Q134">
        <v>298.95</v>
      </c>
      <c r="R134">
        <v>-48.767089839999997</v>
      </c>
      <c r="S134">
        <v>-48.767089839999997</v>
      </c>
    </row>
    <row r="135" spans="1:23">
      <c r="A135" s="2">
        <v>46051</v>
      </c>
      <c r="B135" t="s">
        <v>90</v>
      </c>
      <c r="C135">
        <v>64278</v>
      </c>
      <c r="D135">
        <v>1653</v>
      </c>
      <c r="F135" t="s">
        <v>46</v>
      </c>
      <c r="G135" t="s">
        <v>57</v>
      </c>
      <c r="H135" t="s">
        <v>54</v>
      </c>
      <c r="I135" t="s">
        <v>229</v>
      </c>
      <c r="J135" t="s">
        <v>50</v>
      </c>
      <c r="L135">
        <v>-65</v>
      </c>
      <c r="M135">
        <v>-65</v>
      </c>
      <c r="Q135">
        <v>299.3</v>
      </c>
      <c r="R135">
        <v>-36.041259770000003</v>
      </c>
      <c r="S135">
        <v>-36.041259770000003</v>
      </c>
    </row>
    <row r="136" spans="1:23" s="19" customFormat="1">
      <c r="A136" s="20">
        <v>46051</v>
      </c>
      <c r="B136" s="19" t="s">
        <v>90</v>
      </c>
      <c r="C136" s="19">
        <v>64278</v>
      </c>
      <c r="D136" s="19">
        <v>1654</v>
      </c>
      <c r="F136" s="19" t="s">
        <v>46</v>
      </c>
      <c r="G136" s="19" t="s">
        <v>57</v>
      </c>
      <c r="H136" s="19" t="s">
        <v>54</v>
      </c>
      <c r="J136" s="19" t="s">
        <v>50</v>
      </c>
      <c r="L136" s="19">
        <v>-57</v>
      </c>
      <c r="M136" s="19">
        <v>-57</v>
      </c>
      <c r="Q136" s="19">
        <v>299</v>
      </c>
      <c r="R136" s="19">
        <v>-39.428710940000002</v>
      </c>
      <c r="S136" s="19">
        <v>-39.428710940000002</v>
      </c>
      <c r="V136" s="19" t="s">
        <v>146</v>
      </c>
    </row>
    <row r="137" spans="1:23">
      <c r="A137" s="2">
        <v>46051</v>
      </c>
      <c r="B137" t="s">
        <v>158</v>
      </c>
      <c r="C137">
        <v>64278</v>
      </c>
      <c r="D137">
        <v>1655</v>
      </c>
      <c r="F137" t="s">
        <v>46</v>
      </c>
      <c r="G137" t="s">
        <v>57</v>
      </c>
      <c r="H137" t="s">
        <v>54</v>
      </c>
      <c r="J137" t="s">
        <v>50</v>
      </c>
      <c r="L137">
        <v>-63</v>
      </c>
      <c r="M137">
        <v>-63</v>
      </c>
      <c r="Q137">
        <v>299.25</v>
      </c>
      <c r="R137">
        <v>-51.208496089999997</v>
      </c>
      <c r="S137">
        <v>-51.208496089999997</v>
      </c>
    </row>
    <row r="138" spans="1:23">
      <c r="A138" s="2">
        <v>46051</v>
      </c>
      <c r="B138" t="s">
        <v>90</v>
      </c>
      <c r="C138">
        <v>64279</v>
      </c>
      <c r="D138">
        <v>1656</v>
      </c>
      <c r="F138" t="s">
        <v>46</v>
      </c>
      <c r="G138" t="s">
        <v>57</v>
      </c>
      <c r="H138" t="s">
        <v>48</v>
      </c>
      <c r="I138" t="s">
        <v>232</v>
      </c>
      <c r="J138" t="s">
        <v>50</v>
      </c>
      <c r="L138">
        <v>-47</v>
      </c>
      <c r="M138">
        <v>-47</v>
      </c>
      <c r="Q138">
        <v>298.89999999999998</v>
      </c>
      <c r="R138">
        <v>-39.855957029999999</v>
      </c>
      <c r="S138">
        <v>-39.855957029999999</v>
      </c>
    </row>
    <row r="139" spans="1:23">
      <c r="A139" s="2">
        <v>46051</v>
      </c>
      <c r="B139" t="s">
        <v>90</v>
      </c>
      <c r="C139">
        <v>64279</v>
      </c>
      <c r="D139">
        <v>1657</v>
      </c>
      <c r="F139" t="s">
        <v>46</v>
      </c>
      <c r="G139" t="s">
        <v>57</v>
      </c>
      <c r="H139" t="s">
        <v>48</v>
      </c>
      <c r="I139" t="s">
        <v>234</v>
      </c>
      <c r="J139" t="s">
        <v>50</v>
      </c>
      <c r="L139">
        <v>-45</v>
      </c>
      <c r="M139">
        <v>-45</v>
      </c>
      <c r="Q139">
        <v>299</v>
      </c>
      <c r="R139">
        <v>-38.269042970000001</v>
      </c>
      <c r="S139">
        <v>-38.269042970000001</v>
      </c>
    </row>
    <row r="140" spans="1:23" s="19" customFormat="1">
      <c r="A140" s="20">
        <v>46051</v>
      </c>
      <c r="B140" s="19" t="s">
        <v>158</v>
      </c>
      <c r="C140" s="19">
        <v>64279</v>
      </c>
      <c r="D140" s="19">
        <v>1658</v>
      </c>
      <c r="F140" s="19" t="s">
        <v>46</v>
      </c>
      <c r="G140" s="19" t="s">
        <v>57</v>
      </c>
      <c r="H140" s="19" t="s">
        <v>48</v>
      </c>
      <c r="I140" s="19" t="s">
        <v>235</v>
      </c>
      <c r="J140" s="19" t="s">
        <v>50</v>
      </c>
      <c r="L140" s="19">
        <v>-55</v>
      </c>
      <c r="Q140" s="19">
        <v>299.25</v>
      </c>
      <c r="R140" s="19">
        <v>-56.121826169999999</v>
      </c>
      <c r="V140" s="19" t="s">
        <v>70</v>
      </c>
      <c r="W140" s="19" t="s">
        <v>75</v>
      </c>
    </row>
    <row r="141" spans="1:23">
      <c r="A141" s="2">
        <v>46051</v>
      </c>
      <c r="B141" t="s">
        <v>90</v>
      </c>
      <c r="C141">
        <v>64279</v>
      </c>
      <c r="D141">
        <v>1659</v>
      </c>
      <c r="F141" t="s">
        <v>46</v>
      </c>
      <c r="G141" t="s">
        <v>57</v>
      </c>
      <c r="H141" t="s">
        <v>48</v>
      </c>
      <c r="J141" t="s">
        <v>50</v>
      </c>
      <c r="L141">
        <v>-65</v>
      </c>
      <c r="M141">
        <v>-65</v>
      </c>
      <c r="Q141">
        <v>299</v>
      </c>
      <c r="R141">
        <v>-43.548583979999997</v>
      </c>
      <c r="S141">
        <v>-43.548583979999997</v>
      </c>
    </row>
    <row r="142" spans="1:23" s="19" customFormat="1">
      <c r="A142" s="20">
        <v>46052</v>
      </c>
      <c r="B142" s="19" t="s">
        <v>90</v>
      </c>
      <c r="C142" s="19">
        <v>64288</v>
      </c>
      <c r="D142" s="19">
        <v>1660</v>
      </c>
      <c r="F142" s="19" t="s">
        <v>65</v>
      </c>
      <c r="G142" s="19" t="s">
        <v>47</v>
      </c>
      <c r="H142" s="19" t="s">
        <v>48</v>
      </c>
      <c r="J142" s="19" t="s">
        <v>50</v>
      </c>
      <c r="L142" s="19">
        <v>-40</v>
      </c>
      <c r="Q142" s="19">
        <v>298.89999999999998</v>
      </c>
      <c r="R142" s="19">
        <v>-46.173095699999998</v>
      </c>
      <c r="V142" s="19" t="s">
        <v>70</v>
      </c>
      <c r="W142" s="19" t="s">
        <v>75</v>
      </c>
    </row>
    <row r="143" spans="1:23" s="19" customFormat="1">
      <c r="A143" s="20">
        <v>46052</v>
      </c>
      <c r="B143" s="19" t="s">
        <v>90</v>
      </c>
      <c r="C143" s="19">
        <v>64288</v>
      </c>
      <c r="D143" s="19">
        <v>1661</v>
      </c>
      <c r="F143" s="19" t="s">
        <v>65</v>
      </c>
      <c r="G143" s="19" t="s">
        <v>47</v>
      </c>
      <c r="H143" s="19" t="s">
        <v>48</v>
      </c>
      <c r="J143" s="19" t="s">
        <v>50</v>
      </c>
      <c r="L143" s="19">
        <v>-40</v>
      </c>
      <c r="Q143" s="19">
        <v>298.85000000000002</v>
      </c>
      <c r="R143" s="19">
        <v>-46.325683589999997</v>
      </c>
      <c r="V143" s="19" t="s">
        <v>70</v>
      </c>
      <c r="W143" s="19" t="s">
        <v>75</v>
      </c>
    </row>
    <row r="144" spans="1:23">
      <c r="A144" s="2">
        <v>46052</v>
      </c>
      <c r="B144" t="s">
        <v>90</v>
      </c>
      <c r="C144">
        <v>64288</v>
      </c>
      <c r="D144">
        <v>1662</v>
      </c>
      <c r="F144" t="s">
        <v>65</v>
      </c>
      <c r="G144" t="s">
        <v>47</v>
      </c>
      <c r="H144" t="s">
        <v>48</v>
      </c>
      <c r="I144" t="s">
        <v>239</v>
      </c>
      <c r="J144" t="s">
        <v>50</v>
      </c>
      <c r="L144">
        <v>-65</v>
      </c>
      <c r="M144">
        <v>-65</v>
      </c>
      <c r="Q144">
        <v>298.95</v>
      </c>
      <c r="R144">
        <v>-48.706054690000002</v>
      </c>
      <c r="S144">
        <v>-48.706054690000002</v>
      </c>
    </row>
    <row r="145" spans="1:23" s="19" customFormat="1">
      <c r="A145" s="20">
        <v>46052</v>
      </c>
      <c r="B145" s="19" t="s">
        <v>90</v>
      </c>
      <c r="C145" s="19">
        <v>64289</v>
      </c>
      <c r="D145" s="19">
        <v>1663</v>
      </c>
      <c r="F145" s="19" t="s">
        <v>65</v>
      </c>
      <c r="G145" s="19" t="s">
        <v>47</v>
      </c>
      <c r="H145" s="19" t="s">
        <v>54</v>
      </c>
      <c r="I145" s="19" t="s">
        <v>241</v>
      </c>
      <c r="J145" s="19" t="s">
        <v>50</v>
      </c>
      <c r="L145" s="19">
        <v>-44</v>
      </c>
      <c r="M145" s="19">
        <v>-44</v>
      </c>
      <c r="Q145" s="19">
        <v>299</v>
      </c>
      <c r="R145" s="19">
        <v>-40.52734375</v>
      </c>
      <c r="S145" s="19">
        <v>-40.52734375</v>
      </c>
      <c r="V145" s="19" t="s">
        <v>242</v>
      </c>
    </row>
    <row r="146" spans="1:23">
      <c r="A146" s="2">
        <v>46052</v>
      </c>
      <c r="B146" t="s">
        <v>90</v>
      </c>
      <c r="C146">
        <v>64289</v>
      </c>
      <c r="D146">
        <v>1664</v>
      </c>
      <c r="F146" t="s">
        <v>65</v>
      </c>
      <c r="G146" t="s">
        <v>47</v>
      </c>
      <c r="H146" t="s">
        <v>54</v>
      </c>
      <c r="I146" t="s">
        <v>243</v>
      </c>
      <c r="J146" t="s">
        <v>50</v>
      </c>
      <c r="L146">
        <v>-67</v>
      </c>
      <c r="M146">
        <v>-67</v>
      </c>
      <c r="Q146">
        <v>298.85000000000002</v>
      </c>
      <c r="R146">
        <v>-41.809082029999999</v>
      </c>
      <c r="S146">
        <v>-41.809082029999999</v>
      </c>
    </row>
    <row r="147" spans="1:23" s="19" customFormat="1">
      <c r="A147" s="20">
        <v>46052</v>
      </c>
      <c r="B147" s="19" t="s">
        <v>90</v>
      </c>
      <c r="C147" s="19">
        <v>64289</v>
      </c>
      <c r="D147" s="19">
        <v>1665</v>
      </c>
      <c r="F147" s="19" t="s">
        <v>65</v>
      </c>
      <c r="G147" s="19" t="s">
        <v>47</v>
      </c>
      <c r="H147" s="19" t="s">
        <v>54</v>
      </c>
      <c r="J147" s="19" t="s">
        <v>50</v>
      </c>
      <c r="L147" s="19" t="s">
        <v>463</v>
      </c>
      <c r="V147" s="19" t="s">
        <v>70</v>
      </c>
      <c r="W147" s="19" t="s">
        <v>89</v>
      </c>
    </row>
    <row r="148" spans="1:23">
      <c r="A148" s="2">
        <v>46057</v>
      </c>
      <c r="B148" t="s">
        <v>44</v>
      </c>
      <c r="C148">
        <v>64280</v>
      </c>
      <c r="D148">
        <v>1666</v>
      </c>
      <c r="F148" t="s">
        <v>46</v>
      </c>
      <c r="G148" t="s">
        <v>47</v>
      </c>
      <c r="H148" t="s">
        <v>48</v>
      </c>
      <c r="I148" t="s">
        <v>245</v>
      </c>
      <c r="J148" t="s">
        <v>50</v>
      </c>
      <c r="L148">
        <v>-56</v>
      </c>
      <c r="M148">
        <v>-56</v>
      </c>
      <c r="Q148">
        <v>298.75</v>
      </c>
      <c r="R148">
        <v>-48.614501949999998</v>
      </c>
      <c r="S148">
        <v>-48.614501949999998</v>
      </c>
    </row>
    <row r="149" spans="1:23">
      <c r="A149" s="2">
        <v>46057</v>
      </c>
      <c r="B149" t="s">
        <v>44</v>
      </c>
      <c r="C149">
        <v>64280</v>
      </c>
      <c r="D149">
        <v>1667</v>
      </c>
      <c r="F149" t="s">
        <v>46</v>
      </c>
      <c r="G149" t="s">
        <v>47</v>
      </c>
      <c r="H149" t="s">
        <v>48</v>
      </c>
      <c r="I149" t="s">
        <v>246</v>
      </c>
      <c r="J149" t="s">
        <v>50</v>
      </c>
      <c r="L149">
        <v>-58</v>
      </c>
      <c r="M149">
        <v>-58</v>
      </c>
      <c r="Q149">
        <v>298.95</v>
      </c>
      <c r="R149">
        <v>-47.302246089999997</v>
      </c>
      <c r="S149">
        <v>-47.302246089999997</v>
      </c>
    </row>
    <row r="150" spans="1:23">
      <c r="A150" s="2">
        <v>46057</v>
      </c>
      <c r="B150" t="s">
        <v>90</v>
      </c>
      <c r="C150">
        <v>64280</v>
      </c>
      <c r="D150">
        <v>1668</v>
      </c>
      <c r="F150" t="s">
        <v>46</v>
      </c>
      <c r="G150" t="s">
        <v>47</v>
      </c>
      <c r="H150" t="s">
        <v>48</v>
      </c>
      <c r="I150" t="s">
        <v>247</v>
      </c>
      <c r="J150" t="s">
        <v>50</v>
      </c>
      <c r="L150">
        <v>-45</v>
      </c>
      <c r="M150">
        <v>-45</v>
      </c>
      <c r="Q150">
        <v>299.10000000000002</v>
      </c>
      <c r="R150">
        <v>-35.919189449999998</v>
      </c>
      <c r="S150">
        <v>-35.919189449999998</v>
      </c>
    </row>
    <row r="151" spans="1:23">
      <c r="A151" s="2">
        <v>46057</v>
      </c>
      <c r="B151" t="s">
        <v>90</v>
      </c>
      <c r="C151">
        <v>64280</v>
      </c>
      <c r="D151">
        <v>1669</v>
      </c>
      <c r="F151" t="s">
        <v>46</v>
      </c>
      <c r="G151" t="s">
        <v>47</v>
      </c>
      <c r="H151" t="s">
        <v>48</v>
      </c>
      <c r="I151" t="s">
        <v>248</v>
      </c>
      <c r="J151" t="s">
        <v>50</v>
      </c>
      <c r="L151">
        <v>-45</v>
      </c>
      <c r="M151">
        <v>-45</v>
      </c>
      <c r="Q151">
        <v>299.05</v>
      </c>
      <c r="R151">
        <v>-34.759521479999997</v>
      </c>
      <c r="S151">
        <v>-34.759521479999997</v>
      </c>
    </row>
    <row r="152" spans="1:23">
      <c r="A152" s="2">
        <v>46057</v>
      </c>
      <c r="B152" t="s">
        <v>90</v>
      </c>
      <c r="C152">
        <v>64281</v>
      </c>
      <c r="D152">
        <v>1670</v>
      </c>
      <c r="F152" t="s">
        <v>46</v>
      </c>
      <c r="G152" t="s">
        <v>47</v>
      </c>
      <c r="H152" t="s">
        <v>54</v>
      </c>
      <c r="J152" t="s">
        <v>50</v>
      </c>
      <c r="L152">
        <v>-55</v>
      </c>
      <c r="M152">
        <v>-55</v>
      </c>
      <c r="Q152">
        <v>299.05</v>
      </c>
      <c r="R152">
        <v>-40.618896479999997</v>
      </c>
      <c r="S152">
        <v>-40.618896479999997</v>
      </c>
    </row>
    <row r="153" spans="1:23">
      <c r="A153" s="2">
        <v>46057</v>
      </c>
      <c r="B153" t="s">
        <v>44</v>
      </c>
      <c r="C153">
        <v>64281</v>
      </c>
      <c r="D153">
        <v>1671</v>
      </c>
      <c r="F153" t="s">
        <v>46</v>
      </c>
      <c r="G153" t="s">
        <v>47</v>
      </c>
      <c r="H153" t="s">
        <v>54</v>
      </c>
      <c r="I153" t="s">
        <v>249</v>
      </c>
      <c r="J153" t="s">
        <v>50</v>
      </c>
      <c r="L153">
        <v>-63</v>
      </c>
      <c r="M153">
        <v>-63</v>
      </c>
      <c r="Q153">
        <v>298.85000000000002</v>
      </c>
      <c r="R153">
        <v>-45.013427729999997</v>
      </c>
      <c r="S153">
        <v>-45.013427729999997</v>
      </c>
    </row>
    <row r="154" spans="1:23">
      <c r="A154" s="2">
        <v>46057</v>
      </c>
      <c r="B154" t="s">
        <v>44</v>
      </c>
      <c r="C154">
        <v>64281</v>
      </c>
      <c r="D154">
        <v>1672</v>
      </c>
      <c r="F154" t="s">
        <v>46</v>
      </c>
      <c r="G154" t="s">
        <v>47</v>
      </c>
      <c r="H154" t="s">
        <v>54</v>
      </c>
      <c r="J154" t="s">
        <v>50</v>
      </c>
      <c r="L154">
        <v>-62</v>
      </c>
      <c r="M154">
        <v>-62</v>
      </c>
      <c r="Q154">
        <v>299</v>
      </c>
      <c r="R154">
        <v>-47.424316410000003</v>
      </c>
      <c r="S154">
        <v>-47.424316410000003</v>
      </c>
    </row>
    <row r="155" spans="1:23">
      <c r="A155" s="2">
        <v>46057</v>
      </c>
      <c r="B155" t="s">
        <v>90</v>
      </c>
      <c r="C155">
        <v>64281</v>
      </c>
      <c r="D155">
        <v>1673</v>
      </c>
      <c r="F155" t="s">
        <v>46</v>
      </c>
      <c r="G155" t="s">
        <v>47</v>
      </c>
      <c r="H155" t="s">
        <v>54</v>
      </c>
      <c r="I155" t="s">
        <v>252</v>
      </c>
      <c r="J155" t="s">
        <v>50</v>
      </c>
      <c r="L155">
        <v>-52</v>
      </c>
      <c r="M155">
        <v>-52</v>
      </c>
      <c r="Q155">
        <v>298.89999999999998</v>
      </c>
      <c r="R155">
        <v>-40.802001949999998</v>
      </c>
      <c r="S155">
        <v>-40.802001949999998</v>
      </c>
    </row>
    <row r="156" spans="1:23">
      <c r="A156" s="2">
        <v>46057</v>
      </c>
      <c r="B156" t="s">
        <v>44</v>
      </c>
      <c r="C156">
        <v>64281</v>
      </c>
      <c r="D156">
        <v>1674</v>
      </c>
      <c r="F156" t="s">
        <v>46</v>
      </c>
      <c r="G156" t="s">
        <v>47</v>
      </c>
      <c r="H156" t="s">
        <v>54</v>
      </c>
      <c r="I156" t="s">
        <v>254</v>
      </c>
      <c r="J156" t="s">
        <v>50</v>
      </c>
      <c r="L156">
        <v>-55</v>
      </c>
      <c r="M156">
        <v>-55</v>
      </c>
      <c r="Q156">
        <v>298.75</v>
      </c>
      <c r="R156">
        <v>-37.475585940000002</v>
      </c>
      <c r="S156">
        <v>-37.475585940000002</v>
      </c>
    </row>
    <row r="157" spans="1:23">
      <c r="A157" s="2">
        <v>46057</v>
      </c>
      <c r="B157" t="s">
        <v>90</v>
      </c>
      <c r="C157">
        <v>64281</v>
      </c>
      <c r="D157">
        <v>1675</v>
      </c>
      <c r="F157" t="s">
        <v>46</v>
      </c>
      <c r="G157" t="s">
        <v>47</v>
      </c>
      <c r="H157" t="s">
        <v>54</v>
      </c>
      <c r="I157" t="s">
        <v>256</v>
      </c>
      <c r="J157" t="s">
        <v>50</v>
      </c>
      <c r="L157">
        <v>-65</v>
      </c>
      <c r="M157">
        <v>-65</v>
      </c>
      <c r="Q157">
        <v>298.8</v>
      </c>
      <c r="R157">
        <v>-20.75195313</v>
      </c>
      <c r="S157">
        <v>-20.75195313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2C69-9802-487D-8C74-4582BAEC6977}">
  <dimension ref="A1:AB116"/>
  <sheetViews>
    <sheetView topLeftCell="A85" workbookViewId="0">
      <selection activeCell="G2" sqref="G2:G116"/>
    </sheetView>
  </sheetViews>
  <sheetFormatPr defaultRowHeight="15"/>
  <cols>
    <col min="21" max="21" width="21.710937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455</v>
      </c>
      <c r="L1" t="s">
        <v>456</v>
      </c>
      <c r="M1" t="s">
        <v>457</v>
      </c>
      <c r="P1" t="s">
        <v>458</v>
      </c>
      <c r="Q1" t="s">
        <v>459</v>
      </c>
      <c r="R1" t="s">
        <v>41</v>
      </c>
      <c r="S1" t="s">
        <v>460</v>
      </c>
      <c r="U1" s="1" t="s">
        <v>464</v>
      </c>
    </row>
    <row r="2" spans="1:28">
      <c r="A2" s="2">
        <v>45979</v>
      </c>
      <c r="B2" t="s">
        <v>44</v>
      </c>
      <c r="C2">
        <v>63562</v>
      </c>
      <c r="D2">
        <v>1520</v>
      </c>
      <c r="E2" t="s">
        <v>298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>
        <v>-55.196163177490199</v>
      </c>
      <c r="M2">
        <v>-55.196163177490199</v>
      </c>
      <c r="Q2">
        <v>299.00000000003303</v>
      </c>
      <c r="R2">
        <v>-38.9404296875</v>
      </c>
      <c r="S2">
        <v>-38.9404296875</v>
      </c>
    </row>
    <row r="3" spans="1:28">
      <c r="A3" s="2">
        <v>45979</v>
      </c>
      <c r="B3" t="s">
        <v>44</v>
      </c>
      <c r="C3">
        <v>63562</v>
      </c>
      <c r="D3">
        <v>1521</v>
      </c>
      <c r="E3" t="s">
        <v>299</v>
      </c>
      <c r="F3" t="s">
        <v>46</v>
      </c>
      <c r="G3" t="s">
        <v>47</v>
      </c>
      <c r="H3" t="s">
        <v>48</v>
      </c>
      <c r="I3" t="s">
        <v>52</v>
      </c>
      <c r="J3" t="s">
        <v>50</v>
      </c>
      <c r="L3">
        <v>-54.4396362304687</v>
      </c>
      <c r="M3">
        <v>-54.4396362304687</v>
      </c>
      <c r="Q3">
        <v>299.00000000003303</v>
      </c>
      <c r="R3">
        <v>-36.80419921875</v>
      </c>
      <c r="S3">
        <v>-36.80419921875</v>
      </c>
      <c r="U3" t="s">
        <v>465</v>
      </c>
      <c r="V3" t="s">
        <v>466</v>
      </c>
      <c r="X3" t="s">
        <v>57</v>
      </c>
      <c r="Y3" t="s">
        <v>257</v>
      </c>
      <c r="AA3" t="s">
        <v>46</v>
      </c>
      <c r="AB3" t="s">
        <v>65</v>
      </c>
    </row>
    <row r="4" spans="1:28">
      <c r="A4" s="2">
        <v>45979</v>
      </c>
      <c r="B4" t="s">
        <v>44</v>
      </c>
      <c r="C4">
        <v>63563</v>
      </c>
      <c r="D4">
        <v>1522</v>
      </c>
      <c r="E4" t="s">
        <v>300</v>
      </c>
      <c r="F4" t="s">
        <v>46</v>
      </c>
      <c r="G4" t="s">
        <v>47</v>
      </c>
      <c r="H4" t="s">
        <v>54</v>
      </c>
      <c r="I4" t="s">
        <v>55</v>
      </c>
      <c r="J4" t="s">
        <v>50</v>
      </c>
      <c r="L4">
        <v>-60.491744995117102</v>
      </c>
      <c r="M4">
        <v>-60.491744995117102</v>
      </c>
      <c r="Q4">
        <v>299.00000000003303</v>
      </c>
      <c r="R4">
        <v>-42.205810546875</v>
      </c>
      <c r="S4">
        <v>-42.205810546875</v>
      </c>
      <c r="U4">
        <f>COUNTIF(H:H,"Biocytin+")</f>
        <v>53</v>
      </c>
      <c r="V4">
        <f>COUNTIF(H:H, "Biocytin-")</f>
        <v>62</v>
      </c>
      <c r="X4">
        <f>COUNTIF(G:G, "CFM")</f>
        <v>56</v>
      </c>
      <c r="Y4">
        <f>COUNTIF(G:G, "Naïve")</f>
        <v>59</v>
      </c>
      <c r="AA4">
        <f>COUNTIF(F:F, "Male")</f>
        <v>56</v>
      </c>
      <c r="AB4">
        <f>COUNTIF(F:F, "Female")</f>
        <v>59</v>
      </c>
    </row>
    <row r="5" spans="1:28">
      <c r="A5" s="2">
        <v>45980</v>
      </c>
      <c r="B5" t="s">
        <v>44</v>
      </c>
      <c r="C5">
        <v>63564</v>
      </c>
      <c r="D5">
        <v>1523</v>
      </c>
      <c r="E5" t="s">
        <v>301</v>
      </c>
      <c r="F5" t="s">
        <v>46</v>
      </c>
      <c r="G5" t="s">
        <v>57</v>
      </c>
      <c r="H5" t="s">
        <v>54</v>
      </c>
      <c r="I5" t="s">
        <v>58</v>
      </c>
      <c r="J5" t="s">
        <v>50</v>
      </c>
      <c r="L5">
        <v>-65.214653015136705</v>
      </c>
      <c r="M5">
        <v>-65.214653015136705</v>
      </c>
      <c r="Q5">
        <v>298.900000000033</v>
      </c>
      <c r="R5">
        <v>-41.717529296875</v>
      </c>
      <c r="S5">
        <v>-41.717529296875</v>
      </c>
    </row>
    <row r="6" spans="1:28">
      <c r="A6" s="2">
        <v>45980</v>
      </c>
      <c r="B6" t="s">
        <v>44</v>
      </c>
      <c r="C6">
        <v>63564</v>
      </c>
      <c r="D6">
        <v>1524</v>
      </c>
      <c r="E6" t="s">
        <v>302</v>
      </c>
      <c r="F6" t="s">
        <v>46</v>
      </c>
      <c r="G6" t="s">
        <v>57</v>
      </c>
      <c r="H6" t="s">
        <v>54</v>
      </c>
      <c r="I6" t="s">
        <v>61</v>
      </c>
      <c r="J6" t="s">
        <v>50</v>
      </c>
      <c r="L6">
        <v>-60.138164520263601</v>
      </c>
      <c r="M6">
        <v>-60.138164520263601</v>
      </c>
      <c r="Q6">
        <v>298.95000000003301</v>
      </c>
      <c r="R6">
        <v>-43.9453125</v>
      </c>
      <c r="S6">
        <v>-43.9453125</v>
      </c>
      <c r="U6" s="1" t="s">
        <v>467</v>
      </c>
    </row>
    <row r="7" spans="1:28">
      <c r="A7" s="2">
        <v>45980</v>
      </c>
      <c r="B7" t="s">
        <v>44</v>
      </c>
      <c r="C7">
        <v>63564</v>
      </c>
      <c r="D7">
        <v>1525</v>
      </c>
      <c r="E7" t="s">
        <v>303</v>
      </c>
      <c r="F7" t="s">
        <v>46</v>
      </c>
      <c r="G7" t="s">
        <v>57</v>
      </c>
      <c r="H7" t="s">
        <v>54</v>
      </c>
      <c r="J7" t="s">
        <v>50</v>
      </c>
      <c r="L7">
        <v>-64.690956115722599</v>
      </c>
      <c r="M7">
        <v>-64.690956115722599</v>
      </c>
      <c r="Q7">
        <v>298.95000000003301</v>
      </c>
      <c r="R7">
        <v>-38.6962890625</v>
      </c>
      <c r="S7">
        <v>-38.6962890625</v>
      </c>
    </row>
    <row r="8" spans="1:28">
      <c r="A8" s="2">
        <v>45980</v>
      </c>
      <c r="B8" t="s">
        <v>44</v>
      </c>
      <c r="C8">
        <v>63565</v>
      </c>
      <c r="D8">
        <v>1526</v>
      </c>
      <c r="E8" t="s">
        <v>304</v>
      </c>
      <c r="F8" t="s">
        <v>46</v>
      </c>
      <c r="G8" t="s">
        <v>57</v>
      </c>
      <c r="H8" t="s">
        <v>48</v>
      </c>
      <c r="J8" t="s">
        <v>50</v>
      </c>
      <c r="L8">
        <v>-56.795608520507798</v>
      </c>
      <c r="M8">
        <v>-56.795608520507798</v>
      </c>
      <c r="Q8">
        <v>299.00000000003303</v>
      </c>
      <c r="R8">
        <v>-47.2412109375</v>
      </c>
      <c r="S8">
        <v>-47.2412109375</v>
      </c>
      <c r="U8" t="s">
        <v>465</v>
      </c>
      <c r="V8" t="s">
        <v>466</v>
      </c>
      <c r="X8" t="s">
        <v>57</v>
      </c>
      <c r="Y8" t="s">
        <v>257</v>
      </c>
      <c r="AA8" t="s">
        <v>46</v>
      </c>
      <c r="AB8" t="s">
        <v>65</v>
      </c>
    </row>
    <row r="9" spans="1:28">
      <c r="A9" s="2">
        <v>45981</v>
      </c>
      <c r="B9" t="s">
        <v>44</v>
      </c>
      <c r="C9">
        <v>63552</v>
      </c>
      <c r="D9">
        <v>1527</v>
      </c>
      <c r="E9" t="s">
        <v>305</v>
      </c>
      <c r="F9" t="s">
        <v>65</v>
      </c>
      <c r="G9" t="s">
        <v>57</v>
      </c>
      <c r="H9" t="s">
        <v>48</v>
      </c>
      <c r="J9" t="s">
        <v>50</v>
      </c>
      <c r="L9">
        <v>-64.213279724120994</v>
      </c>
      <c r="M9">
        <v>-64.213279724120994</v>
      </c>
      <c r="Q9">
        <v>298.95000000003301</v>
      </c>
      <c r="R9">
        <v>-42.999267578125</v>
      </c>
      <c r="S9">
        <v>-42.999267578125</v>
      </c>
      <c r="U9">
        <f>COUNTIFS(H:H, "Biocytin+",I:I,"&lt;&gt;")</f>
        <v>42</v>
      </c>
      <c r="V9">
        <f>COUNTIFS(H:H, "Biocytin-",I:I, "&lt;&gt;")</f>
        <v>35</v>
      </c>
      <c r="X9">
        <f>COUNTIFS(G:G, "CFM",I:I, "&lt;&gt;")</f>
        <v>34</v>
      </c>
      <c r="Y9">
        <f>COUNTIFS(G:G, "Naïve", I:I, "&lt;&gt;")</f>
        <v>43</v>
      </c>
      <c r="AA9">
        <f>COUNTIFS(F:F, "Male", I:I, "&lt;&gt;")</f>
        <v>35</v>
      </c>
      <c r="AB9">
        <f>COUNTIFS(F:F, "Female", I:I, "&lt;&gt;")</f>
        <v>42</v>
      </c>
    </row>
    <row r="10" spans="1:28">
      <c r="A10" s="2">
        <v>45981</v>
      </c>
      <c r="B10" t="s">
        <v>44</v>
      </c>
      <c r="C10">
        <v>63552</v>
      </c>
      <c r="D10">
        <v>1528</v>
      </c>
      <c r="E10" t="s">
        <v>306</v>
      </c>
      <c r="F10" t="s">
        <v>65</v>
      </c>
      <c r="G10" t="s">
        <v>57</v>
      </c>
      <c r="H10" t="s">
        <v>48</v>
      </c>
      <c r="I10" t="s">
        <v>66</v>
      </c>
      <c r="J10" t="s">
        <v>50</v>
      </c>
      <c r="L10">
        <v>-61.884849548339801</v>
      </c>
      <c r="M10">
        <v>-61.884849548339801</v>
      </c>
      <c r="Q10">
        <v>298.75000000003303</v>
      </c>
      <c r="R10">
        <v>-44.677734375</v>
      </c>
      <c r="S10">
        <v>-44.677734375</v>
      </c>
    </row>
    <row r="11" spans="1:28">
      <c r="A11" s="2">
        <v>45981</v>
      </c>
      <c r="B11" t="s">
        <v>44</v>
      </c>
      <c r="C11">
        <v>63553</v>
      </c>
      <c r="D11">
        <v>1529</v>
      </c>
      <c r="E11" t="s">
        <v>307</v>
      </c>
      <c r="F11" t="s">
        <v>65</v>
      </c>
      <c r="G11" t="s">
        <v>57</v>
      </c>
      <c r="H11" t="s">
        <v>54</v>
      </c>
      <c r="I11" t="s">
        <v>67</v>
      </c>
      <c r="J11" t="s">
        <v>50</v>
      </c>
      <c r="L11">
        <v>-64.257217407226506</v>
      </c>
      <c r="M11">
        <v>-64.257217407226506</v>
      </c>
      <c r="Q11">
        <v>298.650000000033</v>
      </c>
      <c r="R11">
        <v>-36.31591796875</v>
      </c>
      <c r="S11">
        <v>-36.31591796875</v>
      </c>
    </row>
    <row r="12" spans="1:28">
      <c r="A12" s="2">
        <v>45985</v>
      </c>
      <c r="B12" t="s">
        <v>44</v>
      </c>
      <c r="C12">
        <v>63550</v>
      </c>
      <c r="D12">
        <v>1530</v>
      </c>
      <c r="E12" t="s">
        <v>308</v>
      </c>
      <c r="F12" t="s">
        <v>65</v>
      </c>
      <c r="G12" t="s">
        <v>47</v>
      </c>
      <c r="H12" t="s">
        <v>54</v>
      </c>
      <c r="J12" t="s">
        <v>50</v>
      </c>
      <c r="L12">
        <v>-60.256893157958899</v>
      </c>
      <c r="M12">
        <v>-60.256893157958899</v>
      </c>
      <c r="Q12">
        <v>298.900000000033</v>
      </c>
      <c r="R12">
        <v>-37.4755859375</v>
      </c>
      <c r="S12">
        <v>-37.4755859375</v>
      </c>
      <c r="V12" t="s">
        <v>468</v>
      </c>
      <c r="W12" t="s">
        <v>469</v>
      </c>
      <c r="X12" t="s">
        <v>470</v>
      </c>
    </row>
    <row r="13" spans="1:28">
      <c r="A13" s="2">
        <v>45985</v>
      </c>
      <c r="B13" t="s">
        <v>44</v>
      </c>
      <c r="C13">
        <v>63550</v>
      </c>
      <c r="D13">
        <v>1532</v>
      </c>
      <c r="E13" t="s">
        <v>311</v>
      </c>
      <c r="F13" t="s">
        <v>65</v>
      </c>
      <c r="G13" t="s">
        <v>47</v>
      </c>
      <c r="H13" t="s">
        <v>54</v>
      </c>
      <c r="I13" t="s">
        <v>73</v>
      </c>
      <c r="J13" t="s">
        <v>50</v>
      </c>
      <c r="L13">
        <v>-59.135204315185497</v>
      </c>
      <c r="M13">
        <v>-59.135204315185497</v>
      </c>
      <c r="Q13">
        <v>298.80000000003298</v>
      </c>
      <c r="R13">
        <v>-40.1611328125</v>
      </c>
      <c r="S13">
        <v>-40.1611328125</v>
      </c>
      <c r="U13" t="s">
        <v>471</v>
      </c>
      <c r="V13">
        <v>7</v>
      </c>
      <c r="W13">
        <f>COUNTIFS(F:F,"Female",G:G,"CFM",H:H, "Biocytin+")</f>
        <v>16</v>
      </c>
      <c r="X13">
        <f>COUNTIFS(F:F,"Female",G:G,"CFM",H:H, "Biocytin+",I:I,"&lt;&gt;")</f>
        <v>11</v>
      </c>
    </row>
    <row r="14" spans="1:28">
      <c r="A14" s="2">
        <v>45985</v>
      </c>
      <c r="B14" t="s">
        <v>44</v>
      </c>
      <c r="C14">
        <v>63551</v>
      </c>
      <c r="D14">
        <v>1534</v>
      </c>
      <c r="E14" t="s">
        <v>313</v>
      </c>
      <c r="F14" t="s">
        <v>65</v>
      </c>
      <c r="G14" t="s">
        <v>47</v>
      </c>
      <c r="H14" t="s">
        <v>48</v>
      </c>
      <c r="I14" t="s">
        <v>77</v>
      </c>
      <c r="J14" t="s">
        <v>50</v>
      </c>
      <c r="L14">
        <v>-56.8115425109863</v>
      </c>
      <c r="M14">
        <v>-56.8115425109863</v>
      </c>
      <c r="Q14">
        <v>298.95000000003301</v>
      </c>
      <c r="R14">
        <v>-40.191650390625</v>
      </c>
      <c r="S14">
        <v>-40.191650390625</v>
      </c>
      <c r="U14" t="s">
        <v>472</v>
      </c>
      <c r="V14">
        <v>7</v>
      </c>
      <c r="W14">
        <f>COUNTIFS(F:F, "Male", G:G, "CFM",H:H, "Biocytin+")</f>
        <v>11</v>
      </c>
      <c r="X14">
        <f>COUNTIFS(F:F, "Male", G:G, "CFM",H:H, "Biocytin+",I:I,"&lt;&gt;")</f>
        <v>6</v>
      </c>
    </row>
    <row r="15" spans="1:28">
      <c r="A15" s="2">
        <v>46000</v>
      </c>
      <c r="B15" t="s">
        <v>44</v>
      </c>
      <c r="C15">
        <v>63543</v>
      </c>
      <c r="D15">
        <v>1537</v>
      </c>
      <c r="E15" t="s">
        <v>316</v>
      </c>
      <c r="F15" t="s">
        <v>65</v>
      </c>
      <c r="G15" t="s">
        <v>57</v>
      </c>
      <c r="H15" t="s">
        <v>54</v>
      </c>
      <c r="I15" t="s">
        <v>81</v>
      </c>
      <c r="J15" t="s">
        <v>50</v>
      </c>
      <c r="L15">
        <v>-59.208274841308501</v>
      </c>
      <c r="M15">
        <v>-59.208274841308501</v>
      </c>
      <c r="Q15">
        <v>298.95000000003301</v>
      </c>
      <c r="R15">
        <v>-27.099609375</v>
      </c>
      <c r="S15">
        <v>-27.099609375</v>
      </c>
      <c r="U15" t="s">
        <v>473</v>
      </c>
      <c r="V15">
        <v>7</v>
      </c>
      <c r="W15">
        <f>COUNTIFS(F:F,"Female",G:G,"Naïve",H:H, "Biocytin+")</f>
        <v>11</v>
      </c>
      <c r="X15">
        <f>COUNTIFS(F:F,"Female",G:G,"Naïve",H:H, "Biocytin+",I:I,"&lt;&gt;")</f>
        <v>11</v>
      </c>
    </row>
    <row r="16" spans="1:28">
      <c r="A16" s="2">
        <v>46000</v>
      </c>
      <c r="B16" t="s">
        <v>44</v>
      </c>
      <c r="C16">
        <v>63543</v>
      </c>
      <c r="D16">
        <v>1539</v>
      </c>
      <c r="E16" t="s">
        <v>318</v>
      </c>
      <c r="F16" t="s">
        <v>65</v>
      </c>
      <c r="G16" t="s">
        <v>57</v>
      </c>
      <c r="H16" t="s">
        <v>54</v>
      </c>
      <c r="I16" t="s">
        <v>85</v>
      </c>
      <c r="J16" t="s">
        <v>50</v>
      </c>
      <c r="L16">
        <v>-63.7976264953613</v>
      </c>
      <c r="M16">
        <v>-63.7976264953613</v>
      </c>
      <c r="Q16">
        <v>298.80000000003298</v>
      </c>
      <c r="R16">
        <v>-43.548583984375</v>
      </c>
      <c r="S16">
        <v>-43.548583984375</v>
      </c>
      <c r="U16" t="s">
        <v>474</v>
      </c>
      <c r="V16">
        <v>7</v>
      </c>
      <c r="W16">
        <f>COUNTIFS(F:F,"Male",G:G,"Naïve",H:H, "Biocytin+")</f>
        <v>15</v>
      </c>
      <c r="X16">
        <f>COUNTIFS(F:F,"Male",G:G,"Naïve",H:H, "Biocytin+",I:I,"&lt;&gt;")</f>
        <v>14</v>
      </c>
    </row>
    <row r="17" spans="1:24">
      <c r="A17" s="2">
        <v>46001</v>
      </c>
      <c r="B17" t="s">
        <v>69</v>
      </c>
      <c r="C17">
        <v>63558</v>
      </c>
      <c r="D17">
        <v>1540</v>
      </c>
      <c r="E17" t="s">
        <v>319</v>
      </c>
      <c r="F17" t="s">
        <v>46</v>
      </c>
      <c r="G17" t="s">
        <v>47</v>
      </c>
      <c r="H17" t="s">
        <v>54</v>
      </c>
      <c r="J17" t="s">
        <v>50</v>
      </c>
      <c r="L17">
        <v>-57.144802093505803</v>
      </c>
      <c r="M17">
        <v>-57.144802093505803</v>
      </c>
      <c r="Q17">
        <v>298.95000000003301</v>
      </c>
      <c r="R17">
        <v>-36.285400390625</v>
      </c>
      <c r="S17">
        <v>-36.285400390625</v>
      </c>
      <c r="U17" t="s">
        <v>475</v>
      </c>
      <c r="V17">
        <v>7</v>
      </c>
      <c r="W17">
        <f>COUNTIFS(F:F,"Female",G:G,"CFM",H:H, "Biocytin-")</f>
        <v>16</v>
      </c>
      <c r="X17">
        <f>COUNTIFS(F:F,"Female",G:G,"CFM",H:H, "Biocytin-",I:I,"&lt;&gt;")</f>
        <v>10</v>
      </c>
    </row>
    <row r="18" spans="1:24">
      <c r="A18" s="2">
        <v>46002</v>
      </c>
      <c r="B18" t="s">
        <v>69</v>
      </c>
      <c r="C18">
        <v>63560</v>
      </c>
      <c r="D18">
        <v>1543</v>
      </c>
      <c r="E18" t="s">
        <v>323</v>
      </c>
      <c r="F18" t="s">
        <v>46</v>
      </c>
      <c r="G18" t="s">
        <v>57</v>
      </c>
      <c r="H18" t="s">
        <v>54</v>
      </c>
      <c r="I18" t="s">
        <v>94</v>
      </c>
      <c r="J18" t="s">
        <v>50</v>
      </c>
      <c r="L18">
        <v>-47.746295928955</v>
      </c>
      <c r="M18">
        <v>-47.746295928955</v>
      </c>
      <c r="Q18">
        <v>299.00000000003303</v>
      </c>
      <c r="R18">
        <v>-43.9453125</v>
      </c>
      <c r="S18">
        <v>-43.9453125</v>
      </c>
      <c r="U18" t="s">
        <v>476</v>
      </c>
      <c r="V18">
        <v>7</v>
      </c>
      <c r="W18">
        <f>COUNTIFS(F:F, "Male", G:G, "CFM",H:H, "Biocytin-")</f>
        <v>13</v>
      </c>
      <c r="X18">
        <f>COUNTIFS(F:F, "Male", G:G, "CFM",H:H, "Biocytin-",I:I,"&lt;&gt;")</f>
        <v>7</v>
      </c>
    </row>
    <row r="19" spans="1:24">
      <c r="A19" s="2">
        <v>46002</v>
      </c>
      <c r="B19" t="s">
        <v>44</v>
      </c>
      <c r="C19">
        <v>63561</v>
      </c>
      <c r="D19">
        <v>1545</v>
      </c>
      <c r="E19" t="s">
        <v>325</v>
      </c>
      <c r="F19" t="s">
        <v>46</v>
      </c>
      <c r="G19" t="s">
        <v>57</v>
      </c>
      <c r="H19" t="s">
        <v>48</v>
      </c>
      <c r="J19" t="s">
        <v>50</v>
      </c>
      <c r="L19">
        <v>-74.885505676269503</v>
      </c>
      <c r="M19">
        <v>-74.885505676269503</v>
      </c>
      <c r="Q19">
        <v>298.50000000003303</v>
      </c>
      <c r="R19">
        <v>-57.830810546875</v>
      </c>
      <c r="S19">
        <v>-57.830810546875</v>
      </c>
      <c r="U19" t="s">
        <v>477</v>
      </c>
      <c r="V19">
        <v>7</v>
      </c>
      <c r="W19">
        <f>COUNTIFS(F:F,"Female",G:G,"Naïve",H:H, "Biocytin-")</f>
        <v>16</v>
      </c>
      <c r="X19">
        <f>COUNTIFS(F:F,"Female",G:G,"Naïve",H:H, "Biocytin-",I:I,"&lt;&gt;")</f>
        <v>10</v>
      </c>
    </row>
    <row r="20" spans="1:24">
      <c r="A20" s="2">
        <v>46003</v>
      </c>
      <c r="B20" t="s">
        <v>44</v>
      </c>
      <c r="C20">
        <v>63544</v>
      </c>
      <c r="D20">
        <v>1547</v>
      </c>
      <c r="E20" t="s">
        <v>328</v>
      </c>
      <c r="F20" t="s">
        <v>65</v>
      </c>
      <c r="G20" t="s">
        <v>47</v>
      </c>
      <c r="H20" t="s">
        <v>54</v>
      </c>
      <c r="I20" t="s">
        <v>100</v>
      </c>
      <c r="J20" t="s">
        <v>50</v>
      </c>
      <c r="L20">
        <v>-54.801189422607401</v>
      </c>
      <c r="M20">
        <v>-54.801189422607401</v>
      </c>
      <c r="Q20">
        <v>298.85000000003299</v>
      </c>
      <c r="R20">
        <v>-37.59765625</v>
      </c>
      <c r="S20">
        <v>-37.59765625</v>
      </c>
      <c r="U20" t="s">
        <v>478</v>
      </c>
      <c r="V20">
        <v>7</v>
      </c>
      <c r="W20">
        <f>COUNTIFS(F:F,"Male",G:G,"Naïve",H:H, "Biocytin-")</f>
        <v>17</v>
      </c>
      <c r="X20">
        <f>COUNTIFS(F:F,"Male",G:G,"Naïve",H:H, "Biocytin-",I:I,"&lt;&gt;")</f>
        <v>8</v>
      </c>
    </row>
    <row r="21" spans="1:24">
      <c r="A21" s="2">
        <v>46003</v>
      </c>
      <c r="B21" t="s">
        <v>90</v>
      </c>
      <c r="C21">
        <v>63544</v>
      </c>
      <c r="D21">
        <v>1549</v>
      </c>
      <c r="E21" t="s">
        <v>330</v>
      </c>
      <c r="F21" t="s">
        <v>65</v>
      </c>
      <c r="G21" t="s">
        <v>47</v>
      </c>
      <c r="H21" t="s">
        <v>54</v>
      </c>
      <c r="J21" t="s">
        <v>80</v>
      </c>
      <c r="L21">
        <v>-61.051807403564403</v>
      </c>
      <c r="M21">
        <v>-61.051807403564403</v>
      </c>
      <c r="Q21">
        <v>298.900000000033</v>
      </c>
      <c r="R21">
        <v>-36.865234375</v>
      </c>
      <c r="S21">
        <v>-36.865234375</v>
      </c>
      <c r="U21" t="s">
        <v>479</v>
      </c>
      <c r="V21">
        <f>SUM(V13:V20)</f>
        <v>56</v>
      </c>
      <c r="W21">
        <f>SUM(W13:W20)</f>
        <v>115</v>
      </c>
      <c r="X21">
        <f>SUM(X13:X20)</f>
        <v>77</v>
      </c>
    </row>
    <row r="22" spans="1:24">
      <c r="A22" s="2">
        <v>46003</v>
      </c>
      <c r="B22" t="s">
        <v>69</v>
      </c>
      <c r="C22">
        <v>63545</v>
      </c>
      <c r="D22">
        <v>1550</v>
      </c>
      <c r="E22" t="s">
        <v>331</v>
      </c>
      <c r="F22" t="s">
        <v>65</v>
      </c>
      <c r="G22" t="s">
        <v>47</v>
      </c>
      <c r="H22" t="s">
        <v>48</v>
      </c>
      <c r="I22" t="s">
        <v>106</v>
      </c>
      <c r="J22" t="s">
        <v>50</v>
      </c>
      <c r="L22">
        <v>-46.307552337646399</v>
      </c>
      <c r="M22">
        <v>-46.307552337646399</v>
      </c>
      <c r="Q22">
        <v>299.10000000003299</v>
      </c>
      <c r="R22">
        <v>-42.6025390625</v>
      </c>
      <c r="S22">
        <v>-42.6025390625</v>
      </c>
    </row>
    <row r="23" spans="1:24">
      <c r="A23" s="2">
        <v>46003</v>
      </c>
      <c r="B23" t="s">
        <v>44</v>
      </c>
      <c r="C23">
        <v>63545</v>
      </c>
      <c r="D23">
        <v>1551</v>
      </c>
      <c r="E23" t="s">
        <v>332</v>
      </c>
      <c r="F23" t="s">
        <v>65</v>
      </c>
      <c r="G23" t="s">
        <v>47</v>
      </c>
      <c r="H23" t="s">
        <v>48</v>
      </c>
      <c r="I23" t="s">
        <v>109</v>
      </c>
      <c r="J23" t="s">
        <v>50</v>
      </c>
      <c r="L23">
        <v>-59.285091400146399</v>
      </c>
      <c r="M23">
        <v>-59.285091400146399</v>
      </c>
      <c r="Q23">
        <v>298.900000000033</v>
      </c>
      <c r="R23">
        <v>-48.52294921875</v>
      </c>
      <c r="S23">
        <v>-48.52294921875</v>
      </c>
    </row>
    <row r="24" spans="1:24">
      <c r="A24" s="2">
        <v>46007</v>
      </c>
      <c r="B24" t="s">
        <v>44</v>
      </c>
      <c r="C24">
        <v>63549</v>
      </c>
      <c r="D24">
        <v>1553</v>
      </c>
      <c r="E24" t="s">
        <v>334</v>
      </c>
      <c r="F24" t="s">
        <v>65</v>
      </c>
      <c r="G24" t="s">
        <v>57</v>
      </c>
      <c r="H24" t="s">
        <v>48</v>
      </c>
      <c r="J24" t="s">
        <v>50</v>
      </c>
      <c r="L24">
        <v>-69.831962590000003</v>
      </c>
      <c r="M24">
        <v>-69.831962590000003</v>
      </c>
      <c r="Q24">
        <v>298.900000000033</v>
      </c>
      <c r="R24">
        <v>-45.989990234375</v>
      </c>
      <c r="S24">
        <v>-45.989990234375</v>
      </c>
    </row>
    <row r="25" spans="1:24">
      <c r="A25" s="2">
        <v>46007</v>
      </c>
      <c r="B25" t="s">
        <v>69</v>
      </c>
      <c r="C25">
        <v>63549</v>
      </c>
      <c r="D25">
        <v>1554</v>
      </c>
      <c r="E25" t="s">
        <v>335</v>
      </c>
      <c r="F25" t="s">
        <v>65</v>
      </c>
      <c r="G25" t="s">
        <v>57</v>
      </c>
      <c r="H25" t="s">
        <v>48</v>
      </c>
      <c r="J25" t="s">
        <v>50</v>
      </c>
      <c r="L25">
        <v>-62.54979324</v>
      </c>
      <c r="M25">
        <v>-62.54979324</v>
      </c>
      <c r="Q25">
        <v>299.20000000003301</v>
      </c>
      <c r="R25">
        <v>-42.083740234375</v>
      </c>
      <c r="S25">
        <v>-42.083740234375</v>
      </c>
    </row>
    <row r="26" spans="1:24">
      <c r="A26" s="2">
        <v>46007</v>
      </c>
      <c r="B26" t="s">
        <v>44</v>
      </c>
      <c r="C26">
        <v>63549</v>
      </c>
      <c r="D26">
        <v>1555</v>
      </c>
      <c r="E26" t="s">
        <v>336</v>
      </c>
      <c r="F26" t="s">
        <v>65</v>
      </c>
      <c r="G26" t="s">
        <v>57</v>
      </c>
      <c r="H26" t="s">
        <v>48</v>
      </c>
      <c r="I26" t="s">
        <v>112</v>
      </c>
      <c r="J26" t="s">
        <v>50</v>
      </c>
      <c r="L26">
        <v>-62.680618289999998</v>
      </c>
      <c r="M26">
        <v>-62.680618289999998</v>
      </c>
      <c r="Q26">
        <v>298.55000000003298</v>
      </c>
      <c r="R26">
        <v>-54.931640625</v>
      </c>
      <c r="S26">
        <v>-54.931640625</v>
      </c>
    </row>
    <row r="27" spans="1:24">
      <c r="A27" s="2">
        <v>46007</v>
      </c>
      <c r="B27" t="s">
        <v>69</v>
      </c>
      <c r="C27">
        <v>63549</v>
      </c>
      <c r="D27">
        <v>1556</v>
      </c>
      <c r="E27" t="s">
        <v>337</v>
      </c>
      <c r="F27" t="s">
        <v>65</v>
      </c>
      <c r="G27" t="s">
        <v>57</v>
      </c>
      <c r="H27" t="s">
        <v>48</v>
      </c>
      <c r="J27" t="s">
        <v>50</v>
      </c>
      <c r="L27">
        <v>-57.13628387</v>
      </c>
      <c r="M27">
        <v>-57.13628387</v>
      </c>
      <c r="Q27">
        <v>299.00000000003303</v>
      </c>
      <c r="R27">
        <v>-49.102783203125</v>
      </c>
      <c r="S27">
        <v>-49.102783203125</v>
      </c>
    </row>
    <row r="28" spans="1:24">
      <c r="A28" s="2">
        <v>46007</v>
      </c>
      <c r="B28" t="s">
        <v>90</v>
      </c>
      <c r="C28">
        <v>63549</v>
      </c>
      <c r="D28">
        <v>1557</v>
      </c>
      <c r="E28" t="s">
        <v>334</v>
      </c>
      <c r="F28" t="s">
        <v>65</v>
      </c>
      <c r="G28" t="s">
        <v>57</v>
      </c>
      <c r="H28" t="s">
        <v>48</v>
      </c>
      <c r="I28" t="s">
        <v>115</v>
      </c>
      <c r="J28" t="s">
        <v>50</v>
      </c>
      <c r="L28">
        <v>-65.283187870000006</v>
      </c>
      <c r="M28">
        <v>-65.283187870000006</v>
      </c>
      <c r="Q28">
        <v>298.85000000003299</v>
      </c>
      <c r="R28">
        <v>-45.013427734375</v>
      </c>
      <c r="S28">
        <v>-45.013427734375</v>
      </c>
    </row>
    <row r="29" spans="1:24">
      <c r="A29" s="2">
        <v>46007</v>
      </c>
      <c r="B29" t="s">
        <v>69</v>
      </c>
      <c r="C29">
        <v>63546</v>
      </c>
      <c r="D29">
        <v>1558</v>
      </c>
      <c r="E29" t="s">
        <v>338</v>
      </c>
      <c r="F29" t="s">
        <v>65</v>
      </c>
      <c r="G29" t="s">
        <v>57</v>
      </c>
      <c r="H29" t="s">
        <v>54</v>
      </c>
      <c r="J29" t="s">
        <v>50</v>
      </c>
      <c r="L29">
        <v>-60.09840775</v>
      </c>
      <c r="M29">
        <v>-60.09840775</v>
      </c>
      <c r="Q29">
        <v>298.900000000033</v>
      </c>
      <c r="R29">
        <v>-51.33056640625</v>
      </c>
      <c r="S29">
        <v>-51.33056640625</v>
      </c>
    </row>
    <row r="30" spans="1:24">
      <c r="A30" s="2">
        <v>46007</v>
      </c>
      <c r="B30" t="s">
        <v>69</v>
      </c>
      <c r="C30">
        <v>63546</v>
      </c>
      <c r="D30">
        <v>1559</v>
      </c>
      <c r="E30" t="s">
        <v>339</v>
      </c>
      <c r="F30" t="s">
        <v>65</v>
      </c>
      <c r="G30" t="s">
        <v>57</v>
      </c>
      <c r="H30" t="s">
        <v>54</v>
      </c>
      <c r="J30" t="s">
        <v>50</v>
      </c>
      <c r="L30">
        <v>-54.056751249999998</v>
      </c>
      <c r="M30">
        <v>-54.056751249999998</v>
      </c>
      <c r="Q30">
        <v>298.900000000033</v>
      </c>
      <c r="R30">
        <v>-46.38671875</v>
      </c>
      <c r="S30">
        <v>-46.38671875</v>
      </c>
    </row>
    <row r="31" spans="1:24">
      <c r="A31" s="2">
        <v>46007</v>
      </c>
      <c r="B31" t="s">
        <v>44</v>
      </c>
      <c r="C31">
        <v>63546</v>
      </c>
      <c r="D31">
        <v>1560</v>
      </c>
      <c r="E31" t="s">
        <v>340</v>
      </c>
      <c r="F31" t="s">
        <v>65</v>
      </c>
      <c r="G31" t="s">
        <v>57</v>
      </c>
      <c r="H31" t="s">
        <v>54</v>
      </c>
      <c r="I31" t="s">
        <v>119</v>
      </c>
      <c r="J31" t="s">
        <v>50</v>
      </c>
      <c r="L31">
        <v>-60.66435242</v>
      </c>
      <c r="M31">
        <v>-60.66435242</v>
      </c>
      <c r="Q31">
        <v>298.95000000003301</v>
      </c>
      <c r="R31">
        <v>-50.1708984375</v>
      </c>
      <c r="S31">
        <v>-50.1708984375</v>
      </c>
    </row>
    <row r="32" spans="1:24">
      <c r="A32" s="2">
        <v>46008</v>
      </c>
      <c r="B32" t="s">
        <v>44</v>
      </c>
      <c r="C32">
        <v>63554</v>
      </c>
      <c r="D32">
        <v>1563</v>
      </c>
      <c r="E32" t="s">
        <v>342</v>
      </c>
      <c r="F32" t="s">
        <v>46</v>
      </c>
      <c r="G32" t="s">
        <v>57</v>
      </c>
      <c r="H32" t="s">
        <v>54</v>
      </c>
      <c r="I32" t="s">
        <v>123</v>
      </c>
      <c r="J32" t="s">
        <v>50</v>
      </c>
      <c r="L32">
        <v>-57.32332993</v>
      </c>
      <c r="M32">
        <v>-57.32332993</v>
      </c>
      <c r="Q32">
        <v>298.80000000003298</v>
      </c>
      <c r="R32">
        <v>-38.970947265625</v>
      </c>
      <c r="S32">
        <v>-38.970947265625</v>
      </c>
    </row>
    <row r="33" spans="1:19">
      <c r="A33" s="2">
        <v>46008</v>
      </c>
      <c r="B33" t="s">
        <v>44</v>
      </c>
      <c r="C33">
        <v>63554</v>
      </c>
      <c r="D33">
        <v>1564</v>
      </c>
      <c r="E33" t="s">
        <v>343</v>
      </c>
      <c r="F33" t="s">
        <v>46</v>
      </c>
      <c r="G33" t="s">
        <v>57</v>
      </c>
      <c r="H33" t="s">
        <v>54</v>
      </c>
      <c r="I33" t="s">
        <v>125</v>
      </c>
      <c r="J33" t="s">
        <v>50</v>
      </c>
      <c r="L33">
        <v>-42.973609920000001</v>
      </c>
      <c r="M33">
        <v>-42.973609920000001</v>
      </c>
      <c r="Q33">
        <v>298.900000000033</v>
      </c>
      <c r="R33">
        <v>-35.2783203125</v>
      </c>
      <c r="S33">
        <v>-35.2783203125</v>
      </c>
    </row>
    <row r="34" spans="1:19">
      <c r="A34" s="2">
        <v>46008</v>
      </c>
      <c r="B34" t="s">
        <v>44</v>
      </c>
      <c r="C34">
        <v>63555</v>
      </c>
      <c r="D34">
        <v>1565</v>
      </c>
      <c r="E34" t="s">
        <v>344</v>
      </c>
      <c r="F34" t="s">
        <v>46</v>
      </c>
      <c r="G34" t="s">
        <v>57</v>
      </c>
      <c r="H34" t="s">
        <v>48</v>
      </c>
      <c r="I34" t="s">
        <v>127</v>
      </c>
      <c r="J34" t="s">
        <v>50</v>
      </c>
      <c r="L34">
        <v>-71.541549680000003</v>
      </c>
      <c r="M34">
        <v>-71.541549680000003</v>
      </c>
      <c r="Q34">
        <v>298.95000000003301</v>
      </c>
      <c r="R34">
        <v>-36.4990234375</v>
      </c>
      <c r="S34">
        <v>-36.4990234375</v>
      </c>
    </row>
    <row r="35" spans="1:19">
      <c r="A35" s="2">
        <v>46008</v>
      </c>
      <c r="B35" t="s">
        <v>90</v>
      </c>
      <c r="C35">
        <v>63555</v>
      </c>
      <c r="D35">
        <v>1567</v>
      </c>
      <c r="E35" t="s">
        <v>346</v>
      </c>
      <c r="F35" t="s">
        <v>46</v>
      </c>
      <c r="G35" t="s">
        <v>57</v>
      </c>
      <c r="H35" t="s">
        <v>48</v>
      </c>
      <c r="J35" t="s">
        <v>50</v>
      </c>
      <c r="L35">
        <v>-65.958045960000007</v>
      </c>
      <c r="M35">
        <v>-65.958045960000007</v>
      </c>
      <c r="Q35">
        <v>299.00000000003303</v>
      </c>
      <c r="R35">
        <v>-26.91650390625</v>
      </c>
      <c r="S35">
        <v>-26.91650390625</v>
      </c>
    </row>
    <row r="36" spans="1:19">
      <c r="A36" s="2">
        <v>46009</v>
      </c>
      <c r="B36" t="s">
        <v>69</v>
      </c>
      <c r="C36">
        <v>63556</v>
      </c>
      <c r="D36">
        <v>1568</v>
      </c>
      <c r="E36" t="s">
        <v>347</v>
      </c>
      <c r="F36" t="s">
        <v>46</v>
      </c>
      <c r="G36" t="s">
        <v>47</v>
      </c>
      <c r="H36" t="s">
        <v>54</v>
      </c>
      <c r="J36" t="s">
        <v>50</v>
      </c>
      <c r="L36">
        <v>-61.160972600000001</v>
      </c>
      <c r="M36">
        <v>-61.160972600000001</v>
      </c>
      <c r="Q36">
        <v>298.95000000003301</v>
      </c>
      <c r="R36">
        <v>-49.041748046875</v>
      </c>
      <c r="S36">
        <v>-49.041748046875</v>
      </c>
    </row>
    <row r="37" spans="1:19">
      <c r="A37" s="2">
        <v>46009</v>
      </c>
      <c r="B37" t="s">
        <v>69</v>
      </c>
      <c r="C37">
        <v>63556</v>
      </c>
      <c r="D37">
        <v>1569</v>
      </c>
      <c r="E37" t="s">
        <v>348</v>
      </c>
      <c r="F37" t="s">
        <v>46</v>
      </c>
      <c r="G37" t="s">
        <v>47</v>
      </c>
      <c r="H37" t="s">
        <v>54</v>
      </c>
      <c r="J37" t="s">
        <v>50</v>
      </c>
      <c r="L37">
        <v>-57.936534880000004</v>
      </c>
      <c r="M37">
        <v>-57.936534880000004</v>
      </c>
      <c r="Q37">
        <v>298.900000000033</v>
      </c>
      <c r="R37">
        <v>-39.337158203125</v>
      </c>
      <c r="S37">
        <v>-39.337158203125</v>
      </c>
    </row>
    <row r="38" spans="1:19">
      <c r="A38" s="2">
        <v>46009</v>
      </c>
      <c r="B38" t="s">
        <v>44</v>
      </c>
      <c r="C38">
        <v>63556</v>
      </c>
      <c r="D38">
        <v>1570</v>
      </c>
      <c r="E38" t="s">
        <v>349</v>
      </c>
      <c r="F38" t="s">
        <v>46</v>
      </c>
      <c r="G38" t="s">
        <v>47</v>
      </c>
      <c r="H38" t="s">
        <v>54</v>
      </c>
      <c r="I38" t="s">
        <v>130</v>
      </c>
      <c r="J38" t="s">
        <v>50</v>
      </c>
      <c r="L38">
        <v>-61.701087950000002</v>
      </c>
      <c r="M38">
        <v>-61.701087950000002</v>
      </c>
      <c r="Q38">
        <v>298.900000000033</v>
      </c>
      <c r="R38">
        <v>-47.54638671875</v>
      </c>
      <c r="S38">
        <v>-47.54638671875</v>
      </c>
    </row>
    <row r="39" spans="1:19">
      <c r="A39" s="2">
        <v>46009</v>
      </c>
      <c r="B39" t="s">
        <v>44</v>
      </c>
      <c r="C39">
        <v>63557</v>
      </c>
      <c r="D39">
        <v>1572</v>
      </c>
      <c r="E39" t="s">
        <v>351</v>
      </c>
      <c r="F39" t="s">
        <v>46</v>
      </c>
      <c r="G39" t="s">
        <v>47</v>
      </c>
      <c r="H39" t="s">
        <v>48</v>
      </c>
      <c r="I39" t="s">
        <v>132</v>
      </c>
      <c r="J39" t="s">
        <v>50</v>
      </c>
      <c r="L39">
        <v>-63.303707119999999</v>
      </c>
      <c r="M39">
        <v>-63.303707119999999</v>
      </c>
      <c r="Q39">
        <v>298.900000000033</v>
      </c>
      <c r="R39">
        <v>-43.426513671875</v>
      </c>
      <c r="S39">
        <v>-43.426513671875</v>
      </c>
    </row>
    <row r="40" spans="1:19">
      <c r="A40" s="2">
        <v>46010</v>
      </c>
      <c r="B40" t="s">
        <v>69</v>
      </c>
      <c r="C40">
        <v>63547</v>
      </c>
      <c r="D40">
        <v>1573</v>
      </c>
      <c r="E40" t="s">
        <v>352</v>
      </c>
      <c r="F40" t="s">
        <v>65</v>
      </c>
      <c r="G40" t="s">
        <v>47</v>
      </c>
      <c r="H40" t="s">
        <v>48</v>
      </c>
      <c r="I40" t="s">
        <v>134</v>
      </c>
      <c r="J40" t="s">
        <v>50</v>
      </c>
      <c r="L40">
        <v>-50.831607820000002</v>
      </c>
      <c r="M40">
        <v>-50.831607820000002</v>
      </c>
      <c r="Q40">
        <v>298.900000000033</v>
      </c>
      <c r="R40">
        <v>-37.078857421875</v>
      </c>
      <c r="S40">
        <v>-37.078857421875</v>
      </c>
    </row>
    <row r="41" spans="1:19">
      <c r="A41" s="2">
        <v>46010</v>
      </c>
      <c r="B41" t="s">
        <v>69</v>
      </c>
      <c r="C41">
        <v>63548</v>
      </c>
      <c r="D41">
        <v>1574</v>
      </c>
      <c r="E41" t="s">
        <v>353</v>
      </c>
      <c r="F41" t="s">
        <v>65</v>
      </c>
      <c r="G41" t="s">
        <v>47</v>
      </c>
      <c r="H41" t="s">
        <v>54</v>
      </c>
      <c r="I41" t="s">
        <v>135</v>
      </c>
      <c r="J41" t="s">
        <v>50</v>
      </c>
      <c r="L41">
        <v>-65.034881589999998</v>
      </c>
      <c r="M41">
        <v>-65.034881589999998</v>
      </c>
      <c r="Q41">
        <v>299.00000000003303</v>
      </c>
      <c r="R41">
        <v>-49.041748046875</v>
      </c>
      <c r="S41">
        <v>-49.041748046875</v>
      </c>
    </row>
    <row r="42" spans="1:19">
      <c r="A42" s="2">
        <v>46010</v>
      </c>
      <c r="B42" t="s">
        <v>69</v>
      </c>
      <c r="C42">
        <v>63548</v>
      </c>
      <c r="D42">
        <v>1576</v>
      </c>
      <c r="E42" t="s">
        <v>355</v>
      </c>
      <c r="F42" t="s">
        <v>65</v>
      </c>
      <c r="G42" t="s">
        <v>47</v>
      </c>
      <c r="H42" t="s">
        <v>54</v>
      </c>
      <c r="I42" t="s">
        <v>138</v>
      </c>
      <c r="J42" t="s">
        <v>50</v>
      </c>
      <c r="L42">
        <v>-51.618473049999999</v>
      </c>
      <c r="M42">
        <v>-51.618473049999999</v>
      </c>
      <c r="Q42">
        <v>298.900000000033</v>
      </c>
      <c r="R42">
        <v>-25.482177734375</v>
      </c>
      <c r="S42">
        <v>-25.482177734375</v>
      </c>
    </row>
    <row r="43" spans="1:19">
      <c r="A43" s="2">
        <v>46010</v>
      </c>
      <c r="B43" t="s">
        <v>90</v>
      </c>
      <c r="C43">
        <v>63548</v>
      </c>
      <c r="D43">
        <v>1577</v>
      </c>
      <c r="E43" t="s">
        <v>356</v>
      </c>
      <c r="F43" t="s">
        <v>65</v>
      </c>
      <c r="G43" t="s">
        <v>47</v>
      </c>
      <c r="H43" t="s">
        <v>54</v>
      </c>
      <c r="I43" t="s">
        <v>139</v>
      </c>
      <c r="J43" t="s">
        <v>50</v>
      </c>
      <c r="L43">
        <v>-58.599304199999999</v>
      </c>
      <c r="M43">
        <v>-58.599304199999999</v>
      </c>
      <c r="Q43">
        <v>299.30000000003298</v>
      </c>
      <c r="R43">
        <v>-38.9404296875</v>
      </c>
      <c r="S43">
        <v>-38.9404296875</v>
      </c>
    </row>
    <row r="44" spans="1:19">
      <c r="A44" s="2">
        <v>46028</v>
      </c>
      <c r="B44" t="s">
        <v>44</v>
      </c>
      <c r="C44">
        <v>64063</v>
      </c>
      <c r="D44">
        <v>1578</v>
      </c>
      <c r="F44" t="s">
        <v>46</v>
      </c>
      <c r="G44" t="s">
        <v>47</v>
      </c>
      <c r="H44" t="s">
        <v>48</v>
      </c>
      <c r="I44" t="s">
        <v>141</v>
      </c>
      <c r="J44" t="s">
        <v>50</v>
      </c>
      <c r="L44">
        <v>-64.186660770000003</v>
      </c>
      <c r="M44">
        <v>-64.186660770000003</v>
      </c>
      <c r="Q44">
        <v>298.8</v>
      </c>
      <c r="R44">
        <v>-45.654296879999997</v>
      </c>
      <c r="S44">
        <v>-45.654296879999997</v>
      </c>
    </row>
    <row r="45" spans="1:19">
      <c r="A45" s="2">
        <v>46028</v>
      </c>
      <c r="B45" t="s">
        <v>44</v>
      </c>
      <c r="C45">
        <v>64063</v>
      </c>
      <c r="D45">
        <v>1579</v>
      </c>
      <c r="F45" t="s">
        <v>46</v>
      </c>
      <c r="G45" t="s">
        <v>47</v>
      </c>
      <c r="H45" t="s">
        <v>48</v>
      </c>
      <c r="I45" t="s">
        <v>143</v>
      </c>
      <c r="J45" t="s">
        <v>50</v>
      </c>
      <c r="L45">
        <v>-66.314437870000006</v>
      </c>
      <c r="M45">
        <v>-66.314437870000006</v>
      </c>
      <c r="Q45">
        <v>298.95</v>
      </c>
      <c r="R45">
        <v>-48.828125</v>
      </c>
      <c r="S45">
        <v>-48.828125</v>
      </c>
    </row>
    <row r="46" spans="1:19">
      <c r="A46" s="2">
        <v>46028</v>
      </c>
      <c r="B46" t="s">
        <v>44</v>
      </c>
      <c r="C46">
        <v>64064</v>
      </c>
      <c r="D46">
        <v>1580</v>
      </c>
      <c r="F46" t="s">
        <v>46</v>
      </c>
      <c r="G46" t="s">
        <v>47</v>
      </c>
      <c r="H46" t="s">
        <v>54</v>
      </c>
      <c r="J46" t="s">
        <v>50</v>
      </c>
      <c r="L46">
        <v>-59.031696320000002</v>
      </c>
      <c r="M46">
        <v>-59.031696320000002</v>
      </c>
      <c r="Q46">
        <v>299</v>
      </c>
      <c r="R46">
        <v>-39.916992190000002</v>
      </c>
      <c r="S46">
        <v>-39.916992190000002</v>
      </c>
    </row>
    <row r="47" spans="1:19">
      <c r="A47" s="2">
        <v>46028</v>
      </c>
      <c r="B47" t="s">
        <v>44</v>
      </c>
      <c r="C47">
        <v>64064</v>
      </c>
      <c r="D47">
        <v>1581</v>
      </c>
      <c r="F47" t="s">
        <v>46</v>
      </c>
      <c r="G47" t="s">
        <v>47</v>
      </c>
      <c r="H47" t="s">
        <v>54</v>
      </c>
      <c r="J47" t="s">
        <v>50</v>
      </c>
      <c r="L47">
        <v>-43.698745729999999</v>
      </c>
      <c r="M47">
        <v>-43.698745729999999</v>
      </c>
      <c r="Q47">
        <v>298.75</v>
      </c>
      <c r="R47">
        <v>-42.938232419999999</v>
      </c>
      <c r="S47">
        <v>-42.938232419999999</v>
      </c>
    </row>
    <row r="48" spans="1:19">
      <c r="A48" s="2">
        <v>46030</v>
      </c>
      <c r="B48" t="s">
        <v>44</v>
      </c>
      <c r="C48">
        <v>64055</v>
      </c>
      <c r="D48">
        <v>1583</v>
      </c>
      <c r="F48" t="s">
        <v>65</v>
      </c>
      <c r="G48" t="s">
        <v>47</v>
      </c>
      <c r="H48" t="s">
        <v>48</v>
      </c>
      <c r="I48" t="s">
        <v>147</v>
      </c>
      <c r="J48" t="s">
        <v>50</v>
      </c>
      <c r="L48">
        <v>-55.441585539999998</v>
      </c>
      <c r="M48">
        <v>-55.441585539999998</v>
      </c>
      <c r="Q48">
        <v>299.05</v>
      </c>
      <c r="R48">
        <v>-50.14038086</v>
      </c>
      <c r="S48">
        <v>-50.14038086</v>
      </c>
    </row>
    <row r="49" spans="1:19">
      <c r="A49" s="2">
        <v>46030</v>
      </c>
      <c r="B49" t="s">
        <v>44</v>
      </c>
      <c r="C49">
        <v>64056</v>
      </c>
      <c r="D49">
        <v>1584</v>
      </c>
      <c r="F49" t="s">
        <v>65</v>
      </c>
      <c r="G49" t="s">
        <v>47</v>
      </c>
      <c r="H49" t="s">
        <v>54</v>
      </c>
      <c r="J49" t="s">
        <v>50</v>
      </c>
      <c r="L49">
        <v>-48.275001529999997</v>
      </c>
      <c r="M49">
        <v>-48.275001529999997</v>
      </c>
      <c r="Q49">
        <v>298.95</v>
      </c>
      <c r="R49">
        <v>-33.53881836</v>
      </c>
      <c r="S49">
        <v>-33.53881836</v>
      </c>
    </row>
    <row r="50" spans="1:19">
      <c r="A50" s="2">
        <v>46030</v>
      </c>
      <c r="B50" t="s">
        <v>69</v>
      </c>
      <c r="C50">
        <v>64056</v>
      </c>
      <c r="D50">
        <v>1585</v>
      </c>
      <c r="F50" t="s">
        <v>65</v>
      </c>
      <c r="G50" t="s">
        <v>47</v>
      </c>
      <c r="H50" t="s">
        <v>54</v>
      </c>
      <c r="J50" t="s">
        <v>50</v>
      </c>
      <c r="L50">
        <v>-51.312614439999997</v>
      </c>
      <c r="M50">
        <v>-51.312614439999997</v>
      </c>
      <c r="Q50">
        <v>298.45</v>
      </c>
      <c r="R50">
        <v>-51.11694336</v>
      </c>
      <c r="S50">
        <v>-51.11694336</v>
      </c>
    </row>
    <row r="51" spans="1:19">
      <c r="A51" s="2">
        <v>46030</v>
      </c>
      <c r="B51" t="s">
        <v>90</v>
      </c>
      <c r="C51">
        <v>64056</v>
      </c>
      <c r="D51">
        <v>1586</v>
      </c>
      <c r="F51" t="s">
        <v>65</v>
      </c>
      <c r="G51" t="s">
        <v>47</v>
      </c>
      <c r="H51" t="s">
        <v>54</v>
      </c>
      <c r="J51" t="s">
        <v>50</v>
      </c>
      <c r="L51">
        <v>-59.946529390000002</v>
      </c>
      <c r="M51">
        <v>-59.946529390000002</v>
      </c>
      <c r="Q51">
        <v>299.39999999999998</v>
      </c>
      <c r="R51">
        <v>-47.760009770000003</v>
      </c>
      <c r="S51">
        <v>-47.760009770000003</v>
      </c>
    </row>
    <row r="52" spans="1:19">
      <c r="A52" s="2">
        <v>46030</v>
      </c>
      <c r="B52" t="s">
        <v>90</v>
      </c>
      <c r="C52">
        <v>64056</v>
      </c>
      <c r="D52">
        <v>1587</v>
      </c>
      <c r="F52" t="s">
        <v>65</v>
      </c>
      <c r="G52" t="s">
        <v>47</v>
      </c>
      <c r="H52" t="s">
        <v>54</v>
      </c>
      <c r="I52" t="s">
        <v>151</v>
      </c>
      <c r="J52" t="s">
        <v>50</v>
      </c>
      <c r="L52">
        <v>-75.458816530000007</v>
      </c>
      <c r="M52">
        <v>-75.458816530000007</v>
      </c>
      <c r="Q52">
        <v>298.64999999999998</v>
      </c>
      <c r="R52">
        <v>-52.734375</v>
      </c>
      <c r="S52">
        <v>-52.734375</v>
      </c>
    </row>
    <row r="53" spans="1:19">
      <c r="A53" s="2">
        <v>46031</v>
      </c>
      <c r="B53" t="s">
        <v>44</v>
      </c>
      <c r="C53">
        <v>64065</v>
      </c>
      <c r="D53">
        <v>1589</v>
      </c>
      <c r="F53" t="s">
        <v>46</v>
      </c>
      <c r="G53" t="s">
        <v>57</v>
      </c>
      <c r="H53" t="s">
        <v>54</v>
      </c>
      <c r="J53" t="s">
        <v>50</v>
      </c>
      <c r="L53">
        <v>-59.839836120000001</v>
      </c>
      <c r="M53">
        <v>-59.839836120000001</v>
      </c>
      <c r="Q53">
        <v>298.95</v>
      </c>
      <c r="R53">
        <v>-43.151855470000001</v>
      </c>
      <c r="S53">
        <v>-43.151855470000001</v>
      </c>
    </row>
    <row r="54" spans="1:19">
      <c r="A54" s="2">
        <v>46031</v>
      </c>
      <c r="B54" t="s">
        <v>44</v>
      </c>
      <c r="C54">
        <v>64065</v>
      </c>
      <c r="D54">
        <v>1590</v>
      </c>
      <c r="F54" t="s">
        <v>46</v>
      </c>
      <c r="G54" t="s">
        <v>57</v>
      </c>
      <c r="H54" t="s">
        <v>54</v>
      </c>
      <c r="I54" t="s">
        <v>155</v>
      </c>
      <c r="J54" t="s">
        <v>50</v>
      </c>
      <c r="L54">
        <v>-54.600898739999998</v>
      </c>
      <c r="M54">
        <v>-54.600898739999998</v>
      </c>
      <c r="Q54">
        <v>298.5</v>
      </c>
      <c r="R54">
        <v>-51.91040039</v>
      </c>
      <c r="S54">
        <v>-51.91040039</v>
      </c>
    </row>
    <row r="55" spans="1:19">
      <c r="A55" s="2">
        <v>46031</v>
      </c>
      <c r="B55" t="s">
        <v>69</v>
      </c>
      <c r="C55">
        <v>64066</v>
      </c>
      <c r="D55">
        <v>1591</v>
      </c>
      <c r="F55" t="s">
        <v>46</v>
      </c>
      <c r="G55" t="s">
        <v>57</v>
      </c>
      <c r="H55" t="s">
        <v>48</v>
      </c>
      <c r="I55" t="s">
        <v>153</v>
      </c>
      <c r="J55" t="s">
        <v>50</v>
      </c>
      <c r="L55">
        <v>-57.258132930000002</v>
      </c>
      <c r="M55">
        <v>-57.258132930000002</v>
      </c>
      <c r="Q55">
        <v>298.45</v>
      </c>
      <c r="R55">
        <v>-51.11694336</v>
      </c>
      <c r="S55">
        <v>-51.11694336</v>
      </c>
    </row>
    <row r="56" spans="1:19">
      <c r="A56" s="2">
        <v>46035</v>
      </c>
      <c r="B56" t="s">
        <v>44</v>
      </c>
      <c r="C56">
        <v>64059</v>
      </c>
      <c r="D56">
        <v>1592</v>
      </c>
      <c r="F56" t="s">
        <v>65</v>
      </c>
      <c r="G56" t="s">
        <v>47</v>
      </c>
      <c r="H56" t="s">
        <v>54</v>
      </c>
      <c r="I56" t="s">
        <v>156</v>
      </c>
      <c r="J56" t="s">
        <v>50</v>
      </c>
      <c r="L56">
        <v>-51</v>
      </c>
      <c r="M56">
        <v>-51</v>
      </c>
      <c r="Q56">
        <v>298.89999999999998</v>
      </c>
      <c r="R56">
        <v>-39.489746089999997</v>
      </c>
      <c r="S56">
        <v>-39.489746089999997</v>
      </c>
    </row>
    <row r="57" spans="1:19">
      <c r="A57" s="2">
        <v>46035</v>
      </c>
      <c r="B57" t="s">
        <v>44</v>
      </c>
      <c r="C57">
        <v>64059</v>
      </c>
      <c r="D57">
        <v>1593</v>
      </c>
      <c r="F57" t="s">
        <v>65</v>
      </c>
      <c r="G57" t="s">
        <v>47</v>
      </c>
      <c r="H57" t="s">
        <v>54</v>
      </c>
      <c r="I57" t="s">
        <v>157</v>
      </c>
      <c r="J57" t="s">
        <v>50</v>
      </c>
      <c r="L57">
        <v>-57</v>
      </c>
      <c r="M57">
        <v>-57</v>
      </c>
      <c r="Q57">
        <v>299</v>
      </c>
      <c r="R57">
        <v>-29.266357419999999</v>
      </c>
      <c r="S57">
        <v>-29.266357419999999</v>
      </c>
    </row>
    <row r="58" spans="1:19">
      <c r="A58" s="2">
        <v>46035</v>
      </c>
      <c r="B58" t="s">
        <v>44</v>
      </c>
      <c r="C58">
        <v>64060</v>
      </c>
      <c r="D58">
        <v>1595</v>
      </c>
      <c r="F58" t="s">
        <v>65</v>
      </c>
      <c r="G58" t="s">
        <v>47</v>
      </c>
      <c r="H58" t="s">
        <v>48</v>
      </c>
      <c r="I58" t="s">
        <v>160</v>
      </c>
      <c r="J58" t="s">
        <v>50</v>
      </c>
      <c r="L58">
        <v>-62</v>
      </c>
      <c r="M58">
        <v>-62</v>
      </c>
      <c r="Q58">
        <v>298.8</v>
      </c>
      <c r="R58">
        <v>-41.320800779999999</v>
      </c>
      <c r="S58">
        <v>-41.320800779999999</v>
      </c>
    </row>
    <row r="59" spans="1:19">
      <c r="A59" s="2">
        <v>46036</v>
      </c>
      <c r="B59" t="s">
        <v>44</v>
      </c>
      <c r="C59">
        <v>64057</v>
      </c>
      <c r="D59">
        <v>1596</v>
      </c>
      <c r="F59" t="s">
        <v>65</v>
      </c>
      <c r="G59" t="s">
        <v>57</v>
      </c>
      <c r="H59" t="s">
        <v>48</v>
      </c>
      <c r="I59" t="s">
        <v>161</v>
      </c>
      <c r="J59" t="s">
        <v>50</v>
      </c>
      <c r="L59">
        <v>-64</v>
      </c>
      <c r="M59">
        <v>-64</v>
      </c>
      <c r="Q59">
        <v>298.95</v>
      </c>
      <c r="R59">
        <v>-39.093017580000001</v>
      </c>
      <c r="S59">
        <v>-39.093017580000001</v>
      </c>
    </row>
    <row r="60" spans="1:19">
      <c r="A60" s="2">
        <v>46036</v>
      </c>
      <c r="B60" t="s">
        <v>44</v>
      </c>
      <c r="C60">
        <v>64057</v>
      </c>
      <c r="D60">
        <v>1597</v>
      </c>
      <c r="F60" t="s">
        <v>65</v>
      </c>
      <c r="G60" t="s">
        <v>57</v>
      </c>
      <c r="H60" t="s">
        <v>48</v>
      </c>
      <c r="I60" t="s">
        <v>162</v>
      </c>
      <c r="J60" t="s">
        <v>50</v>
      </c>
      <c r="L60">
        <v>-65</v>
      </c>
      <c r="M60">
        <v>-65</v>
      </c>
      <c r="Q60">
        <v>298.95</v>
      </c>
      <c r="R60">
        <v>-49.95727539</v>
      </c>
      <c r="S60">
        <v>-49.95727539</v>
      </c>
    </row>
    <row r="61" spans="1:19">
      <c r="A61" s="2">
        <v>46036</v>
      </c>
      <c r="B61" t="s">
        <v>44</v>
      </c>
      <c r="C61">
        <v>64058</v>
      </c>
      <c r="D61">
        <v>1599</v>
      </c>
      <c r="F61" t="s">
        <v>65</v>
      </c>
      <c r="G61" t="s">
        <v>57</v>
      </c>
      <c r="H61" t="s">
        <v>54</v>
      </c>
      <c r="I61" t="s">
        <v>166</v>
      </c>
      <c r="J61" t="s">
        <v>50</v>
      </c>
      <c r="L61">
        <v>-55</v>
      </c>
      <c r="M61">
        <v>-55</v>
      </c>
      <c r="Q61">
        <v>298.89999999999998</v>
      </c>
      <c r="R61">
        <v>-37.93334961</v>
      </c>
      <c r="S61">
        <v>-37.93334961</v>
      </c>
    </row>
    <row r="62" spans="1:19">
      <c r="A62" s="2">
        <v>46036</v>
      </c>
      <c r="B62" t="s">
        <v>44</v>
      </c>
      <c r="C62">
        <v>64058</v>
      </c>
      <c r="D62">
        <v>1600</v>
      </c>
      <c r="F62" t="s">
        <v>65</v>
      </c>
      <c r="G62" t="s">
        <v>57</v>
      </c>
      <c r="H62" t="s">
        <v>54</v>
      </c>
      <c r="I62" t="s">
        <v>168</v>
      </c>
      <c r="J62" t="s">
        <v>50</v>
      </c>
      <c r="L62">
        <v>-55</v>
      </c>
      <c r="M62">
        <v>-55</v>
      </c>
      <c r="Q62">
        <v>298.8</v>
      </c>
      <c r="R62">
        <v>-46.478271479999997</v>
      </c>
      <c r="S62">
        <v>-46.478271479999997</v>
      </c>
    </row>
    <row r="63" spans="1:19">
      <c r="A63" s="2">
        <v>46037</v>
      </c>
      <c r="B63" t="s">
        <v>158</v>
      </c>
      <c r="C63">
        <v>64067</v>
      </c>
      <c r="D63">
        <v>1601</v>
      </c>
      <c r="F63" t="s">
        <v>46</v>
      </c>
      <c r="G63" t="s">
        <v>47</v>
      </c>
      <c r="H63" t="s">
        <v>54</v>
      </c>
      <c r="J63" t="s">
        <v>50</v>
      </c>
      <c r="L63">
        <v>-46</v>
      </c>
      <c r="M63">
        <v>-46</v>
      </c>
      <c r="Q63">
        <v>298.89999999999998</v>
      </c>
      <c r="R63">
        <v>-22.338867189999998</v>
      </c>
      <c r="S63">
        <v>-22.338867189999998</v>
      </c>
    </row>
    <row r="64" spans="1:19">
      <c r="A64" s="2">
        <v>46037</v>
      </c>
      <c r="B64" t="s">
        <v>69</v>
      </c>
      <c r="C64">
        <v>64067</v>
      </c>
      <c r="D64">
        <v>1602</v>
      </c>
      <c r="F64" t="s">
        <v>46</v>
      </c>
      <c r="G64" t="s">
        <v>47</v>
      </c>
      <c r="H64" t="s">
        <v>54</v>
      </c>
      <c r="I64" t="s">
        <v>169</v>
      </c>
      <c r="J64" t="s">
        <v>50</v>
      </c>
      <c r="L64">
        <v>-55</v>
      </c>
      <c r="M64">
        <v>-55</v>
      </c>
      <c r="Q64">
        <v>299</v>
      </c>
      <c r="R64">
        <v>-46.356201169999999</v>
      </c>
      <c r="S64">
        <v>-46.356201169999999</v>
      </c>
    </row>
    <row r="65" spans="1:19">
      <c r="A65" s="2">
        <v>46037</v>
      </c>
      <c r="B65" t="s">
        <v>69</v>
      </c>
      <c r="C65">
        <v>64068</v>
      </c>
      <c r="D65">
        <v>1603</v>
      </c>
      <c r="F65" t="s">
        <v>46</v>
      </c>
      <c r="G65" t="s">
        <v>47</v>
      </c>
      <c r="H65" t="s">
        <v>48</v>
      </c>
      <c r="I65" t="s">
        <v>171</v>
      </c>
      <c r="J65" t="s">
        <v>50</v>
      </c>
      <c r="L65">
        <v>-56</v>
      </c>
      <c r="M65">
        <v>-56</v>
      </c>
      <c r="Q65">
        <v>298.95</v>
      </c>
      <c r="R65">
        <v>-43.640136720000001</v>
      </c>
      <c r="S65">
        <v>-43.640136720000001</v>
      </c>
    </row>
    <row r="66" spans="1:19">
      <c r="A66" s="2">
        <v>46037</v>
      </c>
      <c r="B66" t="s">
        <v>69</v>
      </c>
      <c r="C66">
        <v>64068</v>
      </c>
      <c r="D66">
        <v>1604</v>
      </c>
      <c r="F66" t="s">
        <v>46</v>
      </c>
      <c r="G66" t="s">
        <v>47</v>
      </c>
      <c r="H66" t="s">
        <v>48</v>
      </c>
      <c r="I66" t="s">
        <v>173</v>
      </c>
      <c r="J66" t="s">
        <v>50</v>
      </c>
      <c r="L66">
        <v>-64</v>
      </c>
      <c r="M66">
        <v>-64</v>
      </c>
      <c r="Q66">
        <v>298.89999999999998</v>
      </c>
      <c r="R66">
        <v>-45.959472660000003</v>
      </c>
      <c r="S66">
        <v>-45.959472660000003</v>
      </c>
    </row>
    <row r="67" spans="1:19">
      <c r="A67" s="2">
        <v>46038</v>
      </c>
      <c r="B67" t="s">
        <v>90</v>
      </c>
      <c r="C67">
        <v>64061</v>
      </c>
      <c r="D67">
        <v>1605</v>
      </c>
      <c r="F67" t="s">
        <v>65</v>
      </c>
      <c r="G67" t="s">
        <v>57</v>
      </c>
      <c r="H67" t="s">
        <v>48</v>
      </c>
      <c r="I67" t="s">
        <v>175</v>
      </c>
      <c r="J67" t="s">
        <v>50</v>
      </c>
      <c r="L67">
        <v>-52</v>
      </c>
      <c r="M67">
        <v>-52</v>
      </c>
      <c r="Q67">
        <v>298.89999999999998</v>
      </c>
      <c r="R67">
        <v>-45.806884770000003</v>
      </c>
      <c r="S67">
        <v>-45.806884770000003</v>
      </c>
    </row>
    <row r="68" spans="1:19">
      <c r="A68" s="2">
        <v>46038</v>
      </c>
      <c r="B68" t="s">
        <v>44</v>
      </c>
      <c r="C68">
        <v>64061</v>
      </c>
      <c r="D68">
        <v>1606</v>
      </c>
      <c r="F68" t="s">
        <v>65</v>
      </c>
      <c r="G68" t="s">
        <v>57</v>
      </c>
      <c r="H68" t="s">
        <v>48</v>
      </c>
      <c r="I68" t="s">
        <v>151</v>
      </c>
      <c r="J68" t="s">
        <v>50</v>
      </c>
      <c r="L68">
        <v>-63</v>
      </c>
      <c r="M68">
        <v>-63</v>
      </c>
      <c r="Q68">
        <v>299</v>
      </c>
      <c r="R68">
        <v>-42.419433589999997</v>
      </c>
      <c r="S68">
        <v>-42.419433589999997</v>
      </c>
    </row>
    <row r="69" spans="1:19">
      <c r="A69" s="2">
        <v>46038</v>
      </c>
      <c r="B69" t="s">
        <v>90</v>
      </c>
      <c r="C69">
        <v>64061</v>
      </c>
      <c r="D69">
        <v>1607</v>
      </c>
      <c r="F69" t="s">
        <v>65</v>
      </c>
      <c r="G69" t="s">
        <v>57</v>
      </c>
      <c r="H69" t="s">
        <v>48</v>
      </c>
      <c r="J69" t="s">
        <v>50</v>
      </c>
      <c r="L69">
        <v>-52</v>
      </c>
      <c r="M69">
        <v>-52</v>
      </c>
      <c r="Q69">
        <v>298.95</v>
      </c>
      <c r="R69">
        <v>-49.194335940000002</v>
      </c>
      <c r="S69">
        <v>-49.194335940000002</v>
      </c>
    </row>
    <row r="70" spans="1:19">
      <c r="A70" s="2">
        <v>46038</v>
      </c>
      <c r="B70" t="s">
        <v>90</v>
      </c>
      <c r="C70">
        <v>64062</v>
      </c>
      <c r="D70">
        <v>1608</v>
      </c>
      <c r="F70" t="s">
        <v>65</v>
      </c>
      <c r="G70" t="s">
        <v>57</v>
      </c>
      <c r="H70" t="s">
        <v>54</v>
      </c>
      <c r="J70" t="s">
        <v>50</v>
      </c>
      <c r="L70">
        <v>-48</v>
      </c>
      <c r="M70">
        <v>-48</v>
      </c>
      <c r="Q70">
        <v>299.14999999999998</v>
      </c>
      <c r="R70">
        <v>-36.315917970000001</v>
      </c>
      <c r="S70">
        <v>-36.315917970000001</v>
      </c>
    </row>
    <row r="71" spans="1:19">
      <c r="A71" s="2">
        <v>46038</v>
      </c>
      <c r="B71" t="s">
        <v>44</v>
      </c>
      <c r="C71">
        <v>64062</v>
      </c>
      <c r="D71">
        <v>1609</v>
      </c>
      <c r="F71" t="s">
        <v>65</v>
      </c>
      <c r="G71" t="s">
        <v>57</v>
      </c>
      <c r="H71" t="s">
        <v>54</v>
      </c>
      <c r="J71" t="s">
        <v>50</v>
      </c>
      <c r="L71">
        <v>-72</v>
      </c>
      <c r="M71">
        <v>-72</v>
      </c>
      <c r="Q71">
        <v>298.85000000000002</v>
      </c>
      <c r="R71">
        <v>-52.612304690000002</v>
      </c>
      <c r="S71">
        <v>-52.612304690000002</v>
      </c>
    </row>
    <row r="72" spans="1:19">
      <c r="A72" s="2">
        <v>46042</v>
      </c>
      <c r="B72" t="s">
        <v>90</v>
      </c>
      <c r="C72">
        <v>64069</v>
      </c>
      <c r="D72">
        <v>1615</v>
      </c>
      <c r="F72" t="s">
        <v>46</v>
      </c>
      <c r="G72" t="s">
        <v>57</v>
      </c>
      <c r="H72" t="s">
        <v>54</v>
      </c>
      <c r="J72" t="s">
        <v>50</v>
      </c>
      <c r="L72">
        <v>-65</v>
      </c>
      <c r="M72">
        <v>-65</v>
      </c>
      <c r="Q72">
        <v>298.75</v>
      </c>
      <c r="R72">
        <v>-51.086425779999999</v>
      </c>
      <c r="S72">
        <v>-51.086425779999999</v>
      </c>
    </row>
    <row r="73" spans="1:19">
      <c r="A73" s="2">
        <v>46042</v>
      </c>
      <c r="B73" t="s">
        <v>90</v>
      </c>
      <c r="C73">
        <v>64069</v>
      </c>
      <c r="D73">
        <v>1616</v>
      </c>
      <c r="F73" t="s">
        <v>46</v>
      </c>
      <c r="G73" t="s">
        <v>57</v>
      </c>
      <c r="H73" t="s">
        <v>54</v>
      </c>
      <c r="J73" t="s">
        <v>50</v>
      </c>
      <c r="L73">
        <v>-50</v>
      </c>
      <c r="M73">
        <v>-50</v>
      </c>
      <c r="Q73">
        <v>299.10000000000002</v>
      </c>
      <c r="R73">
        <v>-47.088623050000002</v>
      </c>
      <c r="S73">
        <v>-47.088623050000002</v>
      </c>
    </row>
    <row r="74" spans="1:19">
      <c r="A74" s="2">
        <v>46042</v>
      </c>
      <c r="B74" t="s">
        <v>90</v>
      </c>
      <c r="C74">
        <v>64070</v>
      </c>
      <c r="D74">
        <v>1619</v>
      </c>
      <c r="F74" t="s">
        <v>46</v>
      </c>
      <c r="G74" t="s">
        <v>57</v>
      </c>
      <c r="H74" t="s">
        <v>48</v>
      </c>
      <c r="I74" t="s">
        <v>187</v>
      </c>
      <c r="J74" t="s">
        <v>50</v>
      </c>
      <c r="L74">
        <v>-66</v>
      </c>
      <c r="M74">
        <v>-66</v>
      </c>
      <c r="Q74">
        <v>298.85000000000002</v>
      </c>
      <c r="R74">
        <v>-47.302246089999997</v>
      </c>
      <c r="S74">
        <v>-47.302246089999997</v>
      </c>
    </row>
    <row r="75" spans="1:19">
      <c r="A75" s="2">
        <v>46043</v>
      </c>
      <c r="B75" t="s">
        <v>90</v>
      </c>
      <c r="C75">
        <v>64290</v>
      </c>
      <c r="D75">
        <v>1620</v>
      </c>
      <c r="F75" t="s">
        <v>46</v>
      </c>
      <c r="G75" t="s">
        <v>47</v>
      </c>
      <c r="H75" t="s">
        <v>48</v>
      </c>
      <c r="J75" t="s">
        <v>50</v>
      </c>
      <c r="L75">
        <v>-60</v>
      </c>
      <c r="M75">
        <v>-60</v>
      </c>
      <c r="Q75">
        <v>299</v>
      </c>
      <c r="R75">
        <v>-40.405273440000002</v>
      </c>
      <c r="S75">
        <v>-40.405273440000002</v>
      </c>
    </row>
    <row r="76" spans="1:19">
      <c r="A76" s="2">
        <v>46043</v>
      </c>
      <c r="B76" t="s">
        <v>44</v>
      </c>
      <c r="C76">
        <v>64290</v>
      </c>
      <c r="D76">
        <v>1621</v>
      </c>
      <c r="F76" t="s">
        <v>46</v>
      </c>
      <c r="G76" t="s">
        <v>47</v>
      </c>
      <c r="H76" t="s">
        <v>48</v>
      </c>
      <c r="I76" t="s">
        <v>190</v>
      </c>
      <c r="J76" t="s">
        <v>50</v>
      </c>
      <c r="L76">
        <v>-65</v>
      </c>
      <c r="M76">
        <v>-65</v>
      </c>
      <c r="Q76">
        <v>298.95</v>
      </c>
      <c r="R76">
        <v>-46.325683589999997</v>
      </c>
      <c r="S76">
        <v>-46.325683589999997</v>
      </c>
    </row>
    <row r="77" spans="1:19">
      <c r="A77" s="2">
        <v>46043</v>
      </c>
      <c r="B77" t="s">
        <v>44</v>
      </c>
      <c r="C77">
        <v>64290</v>
      </c>
      <c r="D77">
        <v>1623</v>
      </c>
      <c r="F77" t="s">
        <v>46</v>
      </c>
      <c r="G77" t="s">
        <v>47</v>
      </c>
      <c r="H77" t="s">
        <v>48</v>
      </c>
      <c r="I77" t="s">
        <v>192</v>
      </c>
      <c r="J77" t="s">
        <v>50</v>
      </c>
      <c r="L77">
        <v>-54</v>
      </c>
      <c r="M77">
        <v>-54</v>
      </c>
      <c r="Q77">
        <v>298.95</v>
      </c>
      <c r="R77">
        <v>-46.295166020000003</v>
      </c>
      <c r="S77">
        <v>-46.295166020000003</v>
      </c>
    </row>
    <row r="78" spans="1:19">
      <c r="A78" s="2">
        <v>46043</v>
      </c>
      <c r="B78" t="s">
        <v>44</v>
      </c>
      <c r="C78">
        <v>64290</v>
      </c>
      <c r="D78">
        <v>1624</v>
      </c>
      <c r="F78" t="s">
        <v>46</v>
      </c>
      <c r="G78" t="s">
        <v>47</v>
      </c>
      <c r="H78" t="s">
        <v>48</v>
      </c>
      <c r="I78" t="s">
        <v>193</v>
      </c>
      <c r="J78" t="s">
        <v>50</v>
      </c>
      <c r="L78">
        <v>-62</v>
      </c>
      <c r="M78">
        <v>-62</v>
      </c>
      <c r="Q78">
        <v>298.95</v>
      </c>
      <c r="R78">
        <v>-41.229248050000002</v>
      </c>
      <c r="S78">
        <v>-41.229248050000002</v>
      </c>
    </row>
    <row r="79" spans="1:19">
      <c r="A79" s="2">
        <v>46043</v>
      </c>
      <c r="B79" t="s">
        <v>44</v>
      </c>
      <c r="C79">
        <v>64291</v>
      </c>
      <c r="D79">
        <v>1626</v>
      </c>
      <c r="F79" t="s">
        <v>46</v>
      </c>
      <c r="G79" t="s">
        <v>47</v>
      </c>
      <c r="H79" t="s">
        <v>54</v>
      </c>
      <c r="I79" t="s">
        <v>195</v>
      </c>
      <c r="J79" t="s">
        <v>50</v>
      </c>
      <c r="L79">
        <v>-60</v>
      </c>
      <c r="M79">
        <v>-60</v>
      </c>
      <c r="Q79">
        <v>299</v>
      </c>
      <c r="R79">
        <v>-41.564941410000003</v>
      </c>
      <c r="S79">
        <v>-41.564941410000003</v>
      </c>
    </row>
    <row r="80" spans="1:19">
      <c r="A80" s="2">
        <v>46043</v>
      </c>
      <c r="B80" t="s">
        <v>90</v>
      </c>
      <c r="C80">
        <v>64291</v>
      </c>
      <c r="D80">
        <v>1627</v>
      </c>
      <c r="F80" t="s">
        <v>46</v>
      </c>
      <c r="G80" t="s">
        <v>47</v>
      </c>
      <c r="H80" t="s">
        <v>54</v>
      </c>
      <c r="J80" t="s">
        <v>50</v>
      </c>
      <c r="L80">
        <v>-55</v>
      </c>
      <c r="M80">
        <v>-55</v>
      </c>
      <c r="Q80">
        <v>299.14999999999998</v>
      </c>
      <c r="R80">
        <v>-44.952392580000001</v>
      </c>
      <c r="S80">
        <v>-44.952392580000001</v>
      </c>
    </row>
    <row r="81" spans="1:23">
      <c r="A81" s="2">
        <v>46044</v>
      </c>
      <c r="B81" t="s">
        <v>44</v>
      </c>
      <c r="C81">
        <v>64282</v>
      </c>
      <c r="D81">
        <v>1628</v>
      </c>
      <c r="F81" t="s">
        <v>65</v>
      </c>
      <c r="G81" t="s">
        <v>57</v>
      </c>
      <c r="H81" t="s">
        <v>54</v>
      </c>
      <c r="I81" t="s">
        <v>198</v>
      </c>
      <c r="J81" t="s">
        <v>50</v>
      </c>
      <c r="L81">
        <v>-70</v>
      </c>
      <c r="M81">
        <v>-70</v>
      </c>
      <c r="Q81">
        <v>299.2</v>
      </c>
      <c r="R81">
        <v>-49.102783199999998</v>
      </c>
      <c r="S81">
        <v>-49.102783199999998</v>
      </c>
    </row>
    <row r="82" spans="1:23">
      <c r="A82" s="2">
        <v>46044</v>
      </c>
      <c r="B82" t="s">
        <v>90</v>
      </c>
      <c r="C82">
        <v>64283</v>
      </c>
      <c r="D82">
        <v>1630</v>
      </c>
      <c r="F82" t="s">
        <v>65</v>
      </c>
      <c r="G82" t="s">
        <v>57</v>
      </c>
      <c r="H82" t="s">
        <v>48</v>
      </c>
      <c r="I82" t="s">
        <v>202</v>
      </c>
      <c r="J82" t="s">
        <v>50</v>
      </c>
      <c r="L82">
        <v>-62</v>
      </c>
      <c r="M82">
        <v>-62</v>
      </c>
      <c r="Q82">
        <v>299</v>
      </c>
      <c r="R82">
        <v>-47.424316410000003</v>
      </c>
      <c r="S82">
        <v>-47.424316410000003</v>
      </c>
    </row>
    <row r="83" spans="1:23">
      <c r="A83" s="2">
        <v>46044</v>
      </c>
      <c r="B83" t="s">
        <v>90</v>
      </c>
      <c r="C83">
        <v>64283</v>
      </c>
      <c r="D83">
        <v>1631</v>
      </c>
      <c r="F83" t="s">
        <v>65</v>
      </c>
      <c r="G83" t="s">
        <v>57</v>
      </c>
      <c r="H83" t="s">
        <v>48</v>
      </c>
      <c r="I83" t="s">
        <v>204</v>
      </c>
      <c r="J83" t="s">
        <v>50</v>
      </c>
      <c r="L83">
        <v>-58</v>
      </c>
      <c r="M83">
        <v>-58</v>
      </c>
      <c r="Q83">
        <v>299.10000000000002</v>
      </c>
      <c r="R83">
        <v>-38.0859375</v>
      </c>
      <c r="S83">
        <v>-38.0859375</v>
      </c>
    </row>
    <row r="84" spans="1:23">
      <c r="A84" s="2">
        <v>46044</v>
      </c>
      <c r="B84" t="s">
        <v>90</v>
      </c>
      <c r="C84">
        <v>64283</v>
      </c>
      <c r="D84">
        <v>1632</v>
      </c>
      <c r="F84" t="s">
        <v>65</v>
      </c>
      <c r="G84" t="s">
        <v>57</v>
      </c>
      <c r="H84" t="s">
        <v>48</v>
      </c>
      <c r="I84" t="s">
        <v>206</v>
      </c>
      <c r="J84" t="s">
        <v>50</v>
      </c>
      <c r="L84">
        <v>-54</v>
      </c>
      <c r="M84">
        <v>-54</v>
      </c>
      <c r="Q84">
        <v>298.85000000000002</v>
      </c>
      <c r="R84">
        <v>-41.961669919999999</v>
      </c>
      <c r="S84">
        <v>-41.961669919999999</v>
      </c>
      <c r="T84" s="77"/>
      <c r="U84" s="77"/>
      <c r="V84" s="77"/>
      <c r="W84" s="77"/>
    </row>
    <row r="85" spans="1:23">
      <c r="A85" s="2">
        <v>46045</v>
      </c>
      <c r="B85" t="s">
        <v>90</v>
      </c>
      <c r="C85">
        <v>64293</v>
      </c>
      <c r="D85">
        <v>1634</v>
      </c>
      <c r="F85" t="s">
        <v>46</v>
      </c>
      <c r="G85" t="s">
        <v>57</v>
      </c>
      <c r="H85" t="s">
        <v>48</v>
      </c>
      <c r="J85" t="s">
        <v>50</v>
      </c>
      <c r="L85">
        <v>-62</v>
      </c>
      <c r="M85">
        <v>-62</v>
      </c>
      <c r="Q85">
        <v>299.10000000000002</v>
      </c>
      <c r="R85">
        <v>-40.405273440000002</v>
      </c>
      <c r="S85">
        <v>-40.405273440000002</v>
      </c>
    </row>
    <row r="86" spans="1:23">
      <c r="A86" s="2">
        <v>46045</v>
      </c>
      <c r="B86" t="s">
        <v>90</v>
      </c>
      <c r="C86">
        <v>64293</v>
      </c>
      <c r="D86">
        <v>1635</v>
      </c>
      <c r="F86" t="s">
        <v>46</v>
      </c>
      <c r="G86" t="s">
        <v>57</v>
      </c>
      <c r="H86" t="s">
        <v>48</v>
      </c>
      <c r="I86" t="s">
        <v>212</v>
      </c>
      <c r="J86" t="s">
        <v>50</v>
      </c>
      <c r="L86">
        <v>-49</v>
      </c>
      <c r="M86">
        <v>-49</v>
      </c>
      <c r="Q86">
        <v>299.7</v>
      </c>
      <c r="R86">
        <v>-42.724609379999997</v>
      </c>
      <c r="S86">
        <v>-42.724609379999997</v>
      </c>
    </row>
    <row r="87" spans="1:23">
      <c r="A87" s="2">
        <v>46049</v>
      </c>
      <c r="B87" t="s">
        <v>90</v>
      </c>
      <c r="C87">
        <v>64284</v>
      </c>
      <c r="D87">
        <v>1636</v>
      </c>
      <c r="F87" t="s">
        <v>65</v>
      </c>
      <c r="G87" t="s">
        <v>57</v>
      </c>
      <c r="H87" t="s">
        <v>54</v>
      </c>
      <c r="J87" t="s">
        <v>50</v>
      </c>
      <c r="L87">
        <v>-60</v>
      </c>
      <c r="M87">
        <v>-60</v>
      </c>
      <c r="Q87">
        <v>299.25</v>
      </c>
      <c r="R87">
        <v>-41.748046879999997</v>
      </c>
      <c r="S87">
        <v>-41.748046879999997</v>
      </c>
    </row>
    <row r="88" spans="1:23">
      <c r="A88" s="2">
        <v>46049</v>
      </c>
      <c r="B88" t="s">
        <v>90</v>
      </c>
      <c r="C88">
        <v>64284</v>
      </c>
      <c r="D88">
        <v>1637</v>
      </c>
      <c r="F88" t="s">
        <v>65</v>
      </c>
      <c r="G88" t="s">
        <v>57</v>
      </c>
      <c r="H88" t="s">
        <v>54</v>
      </c>
      <c r="I88" t="s">
        <v>213</v>
      </c>
      <c r="J88" t="s">
        <v>50</v>
      </c>
      <c r="L88">
        <v>-45</v>
      </c>
      <c r="M88">
        <v>-45</v>
      </c>
      <c r="Q88">
        <v>299.05</v>
      </c>
      <c r="R88">
        <v>-41.83959961</v>
      </c>
      <c r="S88">
        <v>-41.83959961</v>
      </c>
    </row>
    <row r="89" spans="1:23">
      <c r="A89" s="2">
        <v>46049</v>
      </c>
      <c r="B89" t="s">
        <v>90</v>
      </c>
      <c r="C89">
        <v>64284</v>
      </c>
      <c r="D89">
        <v>1638</v>
      </c>
      <c r="F89" t="s">
        <v>65</v>
      </c>
      <c r="G89" t="s">
        <v>57</v>
      </c>
      <c r="H89" t="s">
        <v>54</v>
      </c>
      <c r="I89" t="s">
        <v>215</v>
      </c>
      <c r="J89" t="s">
        <v>50</v>
      </c>
      <c r="L89">
        <v>-48</v>
      </c>
      <c r="M89">
        <v>-48</v>
      </c>
      <c r="Q89">
        <v>298.89999999999998</v>
      </c>
      <c r="R89">
        <v>-25.939941409999999</v>
      </c>
      <c r="S89">
        <v>-25.939941409999999</v>
      </c>
    </row>
    <row r="90" spans="1:23">
      <c r="A90" s="2">
        <v>46049</v>
      </c>
      <c r="B90" t="s">
        <v>44</v>
      </c>
      <c r="C90">
        <v>64284</v>
      </c>
      <c r="D90">
        <v>1639</v>
      </c>
      <c r="F90" t="s">
        <v>65</v>
      </c>
      <c r="G90" t="s">
        <v>57</v>
      </c>
      <c r="H90" t="s">
        <v>54</v>
      </c>
      <c r="I90" t="s">
        <v>217</v>
      </c>
      <c r="J90" t="s">
        <v>50</v>
      </c>
      <c r="L90">
        <v>-63</v>
      </c>
      <c r="M90">
        <v>-63</v>
      </c>
      <c r="Q90">
        <v>299.05</v>
      </c>
      <c r="R90">
        <v>-40.0390625</v>
      </c>
      <c r="S90">
        <v>-40.0390625</v>
      </c>
    </row>
    <row r="91" spans="1:23">
      <c r="A91" s="2">
        <v>46049</v>
      </c>
      <c r="B91" t="s">
        <v>90</v>
      </c>
      <c r="C91">
        <v>64285</v>
      </c>
      <c r="D91">
        <v>1640</v>
      </c>
      <c r="F91" t="s">
        <v>65</v>
      </c>
      <c r="G91" t="s">
        <v>57</v>
      </c>
      <c r="H91" t="s">
        <v>48</v>
      </c>
      <c r="I91" t="s">
        <v>219</v>
      </c>
      <c r="J91" t="s">
        <v>50</v>
      </c>
      <c r="L91">
        <v>-55</v>
      </c>
      <c r="M91">
        <v>-55</v>
      </c>
      <c r="Q91">
        <v>299.2</v>
      </c>
      <c r="R91">
        <v>-45.227050779999999</v>
      </c>
      <c r="S91">
        <v>-45.227050779999999</v>
      </c>
    </row>
    <row r="92" spans="1:23">
      <c r="A92" s="2">
        <v>46049</v>
      </c>
      <c r="B92" t="s">
        <v>44</v>
      </c>
      <c r="C92">
        <v>64284</v>
      </c>
      <c r="D92">
        <v>1641</v>
      </c>
      <c r="F92" t="s">
        <v>65</v>
      </c>
      <c r="G92" t="s">
        <v>57</v>
      </c>
      <c r="H92" t="s">
        <v>54</v>
      </c>
      <c r="J92" t="s">
        <v>50</v>
      </c>
      <c r="L92">
        <v>-63</v>
      </c>
      <c r="M92">
        <v>-63</v>
      </c>
      <c r="Q92">
        <v>298.8</v>
      </c>
      <c r="R92">
        <v>-39.031982419999999</v>
      </c>
      <c r="S92">
        <v>-39.031982419999999</v>
      </c>
    </row>
    <row r="93" spans="1:23">
      <c r="A93" s="2">
        <v>46050</v>
      </c>
      <c r="B93" t="s">
        <v>44</v>
      </c>
      <c r="C93">
        <v>64286</v>
      </c>
      <c r="D93">
        <v>1645</v>
      </c>
      <c r="F93" t="s">
        <v>65</v>
      </c>
      <c r="G93" t="s">
        <v>47</v>
      </c>
      <c r="H93" t="s">
        <v>48</v>
      </c>
      <c r="I93" t="s">
        <v>224</v>
      </c>
      <c r="J93" t="s">
        <v>50</v>
      </c>
      <c r="L93">
        <v>-64</v>
      </c>
      <c r="M93">
        <v>-64</v>
      </c>
      <c r="Q93">
        <v>298.75</v>
      </c>
      <c r="R93">
        <v>-49.95727539</v>
      </c>
      <c r="S93">
        <v>-49.95727539</v>
      </c>
    </row>
    <row r="94" spans="1:23">
      <c r="A94" s="2">
        <v>46050</v>
      </c>
      <c r="B94" t="s">
        <v>44</v>
      </c>
      <c r="C94">
        <v>64286</v>
      </c>
      <c r="D94">
        <v>1647</v>
      </c>
      <c r="F94" t="s">
        <v>65</v>
      </c>
      <c r="G94" t="s">
        <v>47</v>
      </c>
      <c r="H94" t="s">
        <v>48</v>
      </c>
      <c r="I94" t="s">
        <v>225</v>
      </c>
      <c r="J94" t="s">
        <v>50</v>
      </c>
      <c r="L94">
        <v>-46</v>
      </c>
      <c r="M94">
        <v>-46</v>
      </c>
      <c r="Q94">
        <v>298.95</v>
      </c>
      <c r="R94">
        <v>-45.654296879999997</v>
      </c>
      <c r="S94">
        <v>-45.654296879999997</v>
      </c>
    </row>
    <row r="95" spans="1:23">
      <c r="A95" s="2">
        <v>46050</v>
      </c>
      <c r="B95" t="s">
        <v>44</v>
      </c>
      <c r="C95">
        <v>64286</v>
      </c>
      <c r="D95">
        <v>1648</v>
      </c>
      <c r="F95" t="s">
        <v>65</v>
      </c>
      <c r="G95" t="s">
        <v>47</v>
      </c>
      <c r="H95" t="s">
        <v>48</v>
      </c>
      <c r="I95" t="s">
        <v>226</v>
      </c>
      <c r="J95" t="s">
        <v>50</v>
      </c>
      <c r="L95">
        <v>-67</v>
      </c>
      <c r="M95">
        <v>-67</v>
      </c>
      <c r="Q95">
        <v>298.95</v>
      </c>
      <c r="R95">
        <v>-41.931152339999997</v>
      </c>
      <c r="S95">
        <v>-41.931152339999997</v>
      </c>
    </row>
    <row r="96" spans="1:23">
      <c r="A96" s="2">
        <v>46050</v>
      </c>
      <c r="B96" t="s">
        <v>90</v>
      </c>
      <c r="C96">
        <v>64286</v>
      </c>
      <c r="D96">
        <v>1649</v>
      </c>
      <c r="F96" t="s">
        <v>65</v>
      </c>
      <c r="G96" t="s">
        <v>47</v>
      </c>
      <c r="H96" t="s">
        <v>48</v>
      </c>
      <c r="I96" t="s">
        <v>227</v>
      </c>
      <c r="J96" t="s">
        <v>50</v>
      </c>
      <c r="L96">
        <v>-69</v>
      </c>
      <c r="M96">
        <v>-69</v>
      </c>
      <c r="Q96">
        <v>298.95</v>
      </c>
      <c r="R96">
        <v>-39.764404300000002</v>
      </c>
      <c r="S96">
        <v>-39.764404300000002</v>
      </c>
    </row>
    <row r="97" spans="1:19">
      <c r="A97" s="2">
        <v>46050</v>
      </c>
      <c r="B97" t="s">
        <v>90</v>
      </c>
      <c r="C97">
        <v>64287</v>
      </c>
      <c r="D97">
        <v>1650</v>
      </c>
      <c r="F97" t="s">
        <v>65</v>
      </c>
      <c r="G97" t="s">
        <v>47</v>
      </c>
      <c r="H97" t="s">
        <v>54</v>
      </c>
      <c r="J97" t="s">
        <v>50</v>
      </c>
      <c r="L97">
        <v>-59</v>
      </c>
      <c r="M97">
        <v>-59</v>
      </c>
      <c r="Q97">
        <v>298.95</v>
      </c>
      <c r="R97">
        <v>-46.844482419999999</v>
      </c>
      <c r="S97">
        <v>-46.844482419999999</v>
      </c>
    </row>
    <row r="98" spans="1:19">
      <c r="A98" s="2">
        <v>46050</v>
      </c>
      <c r="B98" t="s">
        <v>90</v>
      </c>
      <c r="C98">
        <v>64287</v>
      </c>
      <c r="D98">
        <v>1651</v>
      </c>
      <c r="F98" t="s">
        <v>65</v>
      </c>
      <c r="G98" t="s">
        <v>47</v>
      </c>
      <c r="H98" t="s">
        <v>54</v>
      </c>
      <c r="I98" t="s">
        <v>228</v>
      </c>
      <c r="J98" t="s">
        <v>50</v>
      </c>
      <c r="L98">
        <v>-51</v>
      </c>
      <c r="M98">
        <v>-51</v>
      </c>
      <c r="Q98">
        <v>298.85000000000002</v>
      </c>
      <c r="R98">
        <v>-36.102294919999999</v>
      </c>
      <c r="S98">
        <v>-36.102294919999999</v>
      </c>
    </row>
    <row r="99" spans="1:19">
      <c r="A99" s="2">
        <v>46051</v>
      </c>
      <c r="B99" t="s">
        <v>90</v>
      </c>
      <c r="C99">
        <v>64278</v>
      </c>
      <c r="D99">
        <v>1652</v>
      </c>
      <c r="F99" t="s">
        <v>46</v>
      </c>
      <c r="G99" t="s">
        <v>57</v>
      </c>
      <c r="H99" t="s">
        <v>54</v>
      </c>
      <c r="J99" t="s">
        <v>50</v>
      </c>
      <c r="L99">
        <v>-53</v>
      </c>
      <c r="M99">
        <v>-53</v>
      </c>
      <c r="Q99">
        <v>298.95</v>
      </c>
      <c r="R99">
        <v>-48.767089839999997</v>
      </c>
      <c r="S99">
        <v>-48.767089839999997</v>
      </c>
    </row>
    <row r="100" spans="1:19">
      <c r="A100" s="2">
        <v>46051</v>
      </c>
      <c r="B100" t="s">
        <v>90</v>
      </c>
      <c r="C100">
        <v>64278</v>
      </c>
      <c r="D100">
        <v>1653</v>
      </c>
      <c r="F100" t="s">
        <v>46</v>
      </c>
      <c r="G100" t="s">
        <v>57</v>
      </c>
      <c r="H100" t="s">
        <v>54</v>
      </c>
      <c r="I100" t="s">
        <v>229</v>
      </c>
      <c r="J100" t="s">
        <v>50</v>
      </c>
      <c r="L100">
        <v>-65</v>
      </c>
      <c r="M100">
        <v>-65</v>
      </c>
      <c r="Q100">
        <v>299.3</v>
      </c>
      <c r="R100">
        <v>-36.041259770000003</v>
      </c>
      <c r="S100">
        <v>-36.041259770000003</v>
      </c>
    </row>
    <row r="101" spans="1:19">
      <c r="A101" s="2">
        <v>46051</v>
      </c>
      <c r="B101" t="s">
        <v>158</v>
      </c>
      <c r="C101">
        <v>64278</v>
      </c>
      <c r="D101">
        <v>1655</v>
      </c>
      <c r="F101" t="s">
        <v>46</v>
      </c>
      <c r="G101" t="s">
        <v>57</v>
      </c>
      <c r="H101" t="s">
        <v>54</v>
      </c>
      <c r="J101" t="s">
        <v>50</v>
      </c>
      <c r="L101">
        <v>-63</v>
      </c>
      <c r="M101">
        <v>-63</v>
      </c>
      <c r="Q101">
        <v>299.25</v>
      </c>
      <c r="R101">
        <v>-51.208496089999997</v>
      </c>
      <c r="S101">
        <v>-51.208496089999997</v>
      </c>
    </row>
    <row r="102" spans="1:19">
      <c r="A102" s="2">
        <v>46051</v>
      </c>
      <c r="B102" t="s">
        <v>90</v>
      </c>
      <c r="C102">
        <v>64279</v>
      </c>
      <c r="D102">
        <v>1656</v>
      </c>
      <c r="F102" t="s">
        <v>46</v>
      </c>
      <c r="G102" t="s">
        <v>57</v>
      </c>
      <c r="H102" t="s">
        <v>48</v>
      </c>
      <c r="I102" t="s">
        <v>232</v>
      </c>
      <c r="J102" t="s">
        <v>50</v>
      </c>
      <c r="L102">
        <v>-47</v>
      </c>
      <c r="M102">
        <v>-47</v>
      </c>
      <c r="Q102">
        <v>298.89999999999998</v>
      </c>
      <c r="R102">
        <v>-39.855957029999999</v>
      </c>
      <c r="S102">
        <v>-39.855957029999999</v>
      </c>
    </row>
    <row r="103" spans="1:19">
      <c r="A103" s="2">
        <v>46051</v>
      </c>
      <c r="B103" t="s">
        <v>90</v>
      </c>
      <c r="C103">
        <v>64279</v>
      </c>
      <c r="D103">
        <v>1657</v>
      </c>
      <c r="F103" t="s">
        <v>46</v>
      </c>
      <c r="G103" t="s">
        <v>57</v>
      </c>
      <c r="H103" t="s">
        <v>48</v>
      </c>
      <c r="I103" t="s">
        <v>234</v>
      </c>
      <c r="J103" t="s">
        <v>50</v>
      </c>
      <c r="L103">
        <v>-45</v>
      </c>
      <c r="M103">
        <v>-45</v>
      </c>
      <c r="Q103">
        <v>299</v>
      </c>
      <c r="R103">
        <v>-38.269042970000001</v>
      </c>
      <c r="S103">
        <v>-38.269042970000001</v>
      </c>
    </row>
    <row r="104" spans="1:19">
      <c r="A104" s="2">
        <v>46051</v>
      </c>
      <c r="B104" t="s">
        <v>90</v>
      </c>
      <c r="C104">
        <v>64279</v>
      </c>
      <c r="D104">
        <v>1659</v>
      </c>
      <c r="F104" t="s">
        <v>46</v>
      </c>
      <c r="G104" t="s">
        <v>57</v>
      </c>
      <c r="H104" t="s">
        <v>48</v>
      </c>
      <c r="J104" t="s">
        <v>50</v>
      </c>
      <c r="L104">
        <v>-65</v>
      </c>
      <c r="M104">
        <v>-65</v>
      </c>
      <c r="Q104">
        <v>299</v>
      </c>
      <c r="R104">
        <v>-43.548583979999997</v>
      </c>
      <c r="S104">
        <v>-43.548583979999997</v>
      </c>
    </row>
    <row r="105" spans="1:19">
      <c r="A105" s="2">
        <v>46052</v>
      </c>
      <c r="B105" t="s">
        <v>90</v>
      </c>
      <c r="C105">
        <v>64288</v>
      </c>
      <c r="D105">
        <v>1662</v>
      </c>
      <c r="F105" t="s">
        <v>65</v>
      </c>
      <c r="G105" t="s">
        <v>47</v>
      </c>
      <c r="H105" t="s">
        <v>48</v>
      </c>
      <c r="I105" t="s">
        <v>239</v>
      </c>
      <c r="J105" t="s">
        <v>50</v>
      </c>
      <c r="L105">
        <v>-65</v>
      </c>
      <c r="M105">
        <v>-65</v>
      </c>
      <c r="Q105">
        <v>298.95</v>
      </c>
      <c r="R105">
        <v>-48.706054690000002</v>
      </c>
      <c r="S105">
        <v>-48.706054690000002</v>
      </c>
    </row>
    <row r="106" spans="1:19">
      <c r="A106" s="2">
        <v>46052</v>
      </c>
      <c r="B106" t="s">
        <v>90</v>
      </c>
      <c r="C106">
        <v>64289</v>
      </c>
      <c r="D106">
        <v>1664</v>
      </c>
      <c r="F106" t="s">
        <v>65</v>
      </c>
      <c r="G106" t="s">
        <v>47</v>
      </c>
      <c r="H106" t="s">
        <v>54</v>
      </c>
      <c r="I106" t="s">
        <v>243</v>
      </c>
      <c r="J106" t="s">
        <v>50</v>
      </c>
      <c r="L106">
        <v>-67</v>
      </c>
      <c r="M106">
        <v>-67</v>
      </c>
      <c r="Q106">
        <v>298.85000000000002</v>
      </c>
      <c r="R106">
        <v>-41.809082029999999</v>
      </c>
      <c r="S106">
        <v>-41.809082029999999</v>
      </c>
    </row>
    <row r="107" spans="1:19">
      <c r="A107" s="2">
        <v>46057</v>
      </c>
      <c r="B107" t="s">
        <v>44</v>
      </c>
      <c r="C107">
        <v>64280</v>
      </c>
      <c r="D107">
        <v>1666</v>
      </c>
      <c r="F107" t="s">
        <v>46</v>
      </c>
      <c r="G107" t="s">
        <v>47</v>
      </c>
      <c r="H107" t="s">
        <v>48</v>
      </c>
      <c r="I107" t="s">
        <v>245</v>
      </c>
      <c r="J107" t="s">
        <v>50</v>
      </c>
      <c r="L107">
        <v>-56</v>
      </c>
      <c r="M107">
        <v>-56</v>
      </c>
      <c r="Q107">
        <v>298.75</v>
      </c>
      <c r="R107">
        <v>-48.614501949999998</v>
      </c>
      <c r="S107">
        <v>-48.614501949999998</v>
      </c>
    </row>
    <row r="108" spans="1:19">
      <c r="A108" s="2">
        <v>46057</v>
      </c>
      <c r="B108" t="s">
        <v>44</v>
      </c>
      <c r="C108">
        <v>64280</v>
      </c>
      <c r="D108">
        <v>1667</v>
      </c>
      <c r="F108" t="s">
        <v>46</v>
      </c>
      <c r="G108" t="s">
        <v>47</v>
      </c>
      <c r="H108" t="s">
        <v>48</v>
      </c>
      <c r="I108" t="s">
        <v>246</v>
      </c>
      <c r="J108" t="s">
        <v>50</v>
      </c>
      <c r="L108">
        <v>-58</v>
      </c>
      <c r="M108">
        <v>-58</v>
      </c>
      <c r="Q108">
        <v>298.95</v>
      </c>
      <c r="R108">
        <v>-47.302246089999997</v>
      </c>
      <c r="S108">
        <v>-47.302246089999997</v>
      </c>
    </row>
    <row r="109" spans="1:19">
      <c r="A109" s="2">
        <v>46057</v>
      </c>
      <c r="B109" t="s">
        <v>90</v>
      </c>
      <c r="C109">
        <v>64280</v>
      </c>
      <c r="D109">
        <v>1668</v>
      </c>
      <c r="F109" t="s">
        <v>46</v>
      </c>
      <c r="G109" t="s">
        <v>47</v>
      </c>
      <c r="H109" t="s">
        <v>48</v>
      </c>
      <c r="I109" t="s">
        <v>247</v>
      </c>
      <c r="J109" t="s">
        <v>50</v>
      </c>
      <c r="L109">
        <v>-45</v>
      </c>
      <c r="M109">
        <v>-45</v>
      </c>
      <c r="Q109">
        <v>299.10000000000002</v>
      </c>
      <c r="R109">
        <v>-35.919189449999998</v>
      </c>
      <c r="S109">
        <v>-35.919189449999998</v>
      </c>
    </row>
    <row r="110" spans="1:19">
      <c r="A110" s="2">
        <v>46057</v>
      </c>
      <c r="B110" t="s">
        <v>90</v>
      </c>
      <c r="C110">
        <v>64280</v>
      </c>
      <c r="D110">
        <v>1669</v>
      </c>
      <c r="F110" t="s">
        <v>46</v>
      </c>
      <c r="G110" t="s">
        <v>47</v>
      </c>
      <c r="H110" t="s">
        <v>48</v>
      </c>
      <c r="I110" t="s">
        <v>248</v>
      </c>
      <c r="J110" t="s">
        <v>50</v>
      </c>
      <c r="L110">
        <v>-45</v>
      </c>
      <c r="M110">
        <v>-45</v>
      </c>
      <c r="Q110">
        <v>299.05</v>
      </c>
      <c r="R110">
        <v>-34.759521479999997</v>
      </c>
      <c r="S110">
        <v>-34.759521479999997</v>
      </c>
    </row>
    <row r="111" spans="1:19">
      <c r="A111" s="2">
        <v>46057</v>
      </c>
      <c r="B111" t="s">
        <v>90</v>
      </c>
      <c r="C111">
        <v>64281</v>
      </c>
      <c r="D111">
        <v>1670</v>
      </c>
      <c r="F111" t="s">
        <v>46</v>
      </c>
      <c r="G111" t="s">
        <v>47</v>
      </c>
      <c r="H111" t="s">
        <v>54</v>
      </c>
      <c r="J111" t="s">
        <v>50</v>
      </c>
      <c r="L111">
        <v>-55</v>
      </c>
      <c r="M111">
        <v>-55</v>
      </c>
      <c r="Q111">
        <v>299.05</v>
      </c>
      <c r="R111">
        <v>-40.618896479999997</v>
      </c>
      <c r="S111">
        <v>-40.618896479999997</v>
      </c>
    </row>
    <row r="112" spans="1:19">
      <c r="A112" s="2">
        <v>46057</v>
      </c>
      <c r="B112" t="s">
        <v>44</v>
      </c>
      <c r="C112">
        <v>64281</v>
      </c>
      <c r="D112">
        <v>1671</v>
      </c>
      <c r="F112" t="s">
        <v>46</v>
      </c>
      <c r="G112" t="s">
        <v>47</v>
      </c>
      <c r="H112" t="s">
        <v>54</v>
      </c>
      <c r="I112" t="s">
        <v>249</v>
      </c>
      <c r="J112" t="s">
        <v>50</v>
      </c>
      <c r="L112">
        <v>-63</v>
      </c>
      <c r="M112">
        <v>-63</v>
      </c>
      <c r="Q112">
        <v>298.85000000000002</v>
      </c>
      <c r="R112">
        <v>-45.013427729999997</v>
      </c>
      <c r="S112">
        <v>-45.013427729999997</v>
      </c>
    </row>
    <row r="113" spans="1:19">
      <c r="A113" s="2">
        <v>46057</v>
      </c>
      <c r="B113" t="s">
        <v>44</v>
      </c>
      <c r="C113">
        <v>64281</v>
      </c>
      <c r="D113">
        <v>1672</v>
      </c>
      <c r="F113" t="s">
        <v>46</v>
      </c>
      <c r="G113" t="s">
        <v>47</v>
      </c>
      <c r="H113" t="s">
        <v>54</v>
      </c>
      <c r="J113" t="s">
        <v>50</v>
      </c>
      <c r="L113">
        <v>-62</v>
      </c>
      <c r="M113">
        <v>-62</v>
      </c>
      <c r="Q113">
        <v>299</v>
      </c>
      <c r="R113">
        <v>-47.424316410000003</v>
      </c>
      <c r="S113">
        <v>-47.424316410000003</v>
      </c>
    </row>
    <row r="114" spans="1:19">
      <c r="A114" s="2">
        <v>46057</v>
      </c>
      <c r="B114" t="s">
        <v>90</v>
      </c>
      <c r="C114">
        <v>64281</v>
      </c>
      <c r="D114">
        <v>1673</v>
      </c>
      <c r="F114" t="s">
        <v>46</v>
      </c>
      <c r="G114" t="s">
        <v>47</v>
      </c>
      <c r="H114" t="s">
        <v>54</v>
      </c>
      <c r="I114" t="s">
        <v>252</v>
      </c>
      <c r="J114" t="s">
        <v>50</v>
      </c>
      <c r="L114">
        <v>-52</v>
      </c>
      <c r="M114">
        <v>-52</v>
      </c>
      <c r="Q114">
        <v>298.89999999999998</v>
      </c>
      <c r="R114">
        <v>-40.802001949999998</v>
      </c>
      <c r="S114">
        <v>-40.802001949999998</v>
      </c>
    </row>
    <row r="115" spans="1:19">
      <c r="A115" s="2">
        <v>46057</v>
      </c>
      <c r="B115" t="s">
        <v>44</v>
      </c>
      <c r="C115">
        <v>64281</v>
      </c>
      <c r="D115">
        <v>1674</v>
      </c>
      <c r="F115" t="s">
        <v>46</v>
      </c>
      <c r="G115" t="s">
        <v>47</v>
      </c>
      <c r="H115" t="s">
        <v>54</v>
      </c>
      <c r="I115" t="s">
        <v>254</v>
      </c>
      <c r="J115" t="s">
        <v>50</v>
      </c>
      <c r="L115">
        <v>-55</v>
      </c>
      <c r="M115">
        <v>-55</v>
      </c>
      <c r="Q115">
        <v>298.75</v>
      </c>
      <c r="R115">
        <v>-37.475585940000002</v>
      </c>
      <c r="S115">
        <v>-37.475585940000002</v>
      </c>
    </row>
    <row r="116" spans="1:19">
      <c r="A116" s="2">
        <v>46057</v>
      </c>
      <c r="B116" t="s">
        <v>90</v>
      </c>
      <c r="C116">
        <v>64281</v>
      </c>
      <c r="D116">
        <v>1675</v>
      </c>
      <c r="F116" t="s">
        <v>46</v>
      </c>
      <c r="G116" t="s">
        <v>47</v>
      </c>
      <c r="H116" t="s">
        <v>54</v>
      </c>
      <c r="I116" t="s">
        <v>256</v>
      </c>
      <c r="J116" t="s">
        <v>50</v>
      </c>
      <c r="L116">
        <v>-65</v>
      </c>
      <c r="M116">
        <v>-65</v>
      </c>
      <c r="Q116">
        <v>298.8</v>
      </c>
      <c r="R116">
        <v>-20.75195313</v>
      </c>
      <c r="S116">
        <v>-20.75195313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A8AF-B1B5-4604-8DE5-9245E2DD2CC4}">
  <dimension ref="A1:W34"/>
  <sheetViews>
    <sheetView topLeftCell="F22" workbookViewId="0">
      <selection activeCell="K41" sqref="K41"/>
    </sheetView>
  </sheetViews>
  <sheetFormatPr defaultRowHeight="15"/>
  <cols>
    <col min="1" max="1" width="10.7109375" bestFit="1" customWidth="1"/>
    <col min="2" max="2" width="9.5703125" bestFit="1" customWidth="1"/>
    <col min="6" max="6" width="20.28515625" bestFit="1" customWidth="1"/>
    <col min="7" max="7" width="18.7109375" bestFit="1" customWidth="1"/>
    <col min="11" max="11" width="18.85546875" bestFit="1" customWidth="1"/>
    <col min="16" max="16" width="10" bestFit="1" customWidth="1"/>
    <col min="17" max="17" width="13.140625" bestFit="1" customWidth="1"/>
    <col min="18" max="18" width="14.85546875" bestFit="1" customWidth="1"/>
    <col min="22" max="22" width="10" bestFit="1" customWidth="1"/>
  </cols>
  <sheetData>
    <row r="1" spans="1:23">
      <c r="L1">
        <f>AVERAGE(L3:L33)</f>
        <v>-56.016629065236707</v>
      </c>
      <c r="M1">
        <f>AVERAGE(M3:M33)</f>
        <v>-59.081353302001915</v>
      </c>
      <c r="R1">
        <f>COUNT(R3:R488)</f>
        <v>32</v>
      </c>
      <c r="S1">
        <f>COUNT(S3:S488)</f>
        <v>25</v>
      </c>
    </row>
    <row r="2" spans="1:2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t="s">
        <v>456</v>
      </c>
      <c r="M2" t="s">
        <v>457</v>
      </c>
      <c r="P2" t="s">
        <v>458</v>
      </c>
      <c r="Q2" t="s">
        <v>459</v>
      </c>
      <c r="R2" t="s">
        <v>41</v>
      </c>
      <c r="S2" t="s">
        <v>460</v>
      </c>
      <c r="V2" t="s">
        <v>42</v>
      </c>
      <c r="W2" t="s">
        <v>43</v>
      </c>
    </row>
    <row r="3" spans="1:23">
      <c r="A3" s="2">
        <v>45979</v>
      </c>
      <c r="B3" t="s">
        <v>44</v>
      </c>
      <c r="D3">
        <v>1520</v>
      </c>
      <c r="E3" t="s">
        <v>298</v>
      </c>
      <c r="F3" t="s">
        <v>46</v>
      </c>
      <c r="H3" t="s">
        <v>48</v>
      </c>
      <c r="I3" t="s">
        <v>49</v>
      </c>
      <c r="J3" t="s">
        <v>50</v>
      </c>
      <c r="L3">
        <v>-55.196163177490199</v>
      </c>
      <c r="M3">
        <v>-55.196163177490199</v>
      </c>
      <c r="Q3">
        <v>299.00000000003303</v>
      </c>
      <c r="R3">
        <v>-38.9404296875</v>
      </c>
      <c r="S3">
        <v>-38.9404296875</v>
      </c>
    </row>
    <row r="4" spans="1:23">
      <c r="A4" s="2">
        <v>45979</v>
      </c>
      <c r="B4" t="s">
        <v>44</v>
      </c>
      <c r="D4">
        <v>1521</v>
      </c>
      <c r="E4" t="s">
        <v>299</v>
      </c>
      <c r="F4" t="s">
        <v>46</v>
      </c>
      <c r="H4" t="s">
        <v>48</v>
      </c>
      <c r="I4" t="s">
        <v>52</v>
      </c>
      <c r="J4" t="s">
        <v>50</v>
      </c>
      <c r="L4">
        <v>-54.4396362304687</v>
      </c>
      <c r="M4">
        <v>-54.4396362304687</v>
      </c>
      <c r="Q4">
        <v>299.00000000003303</v>
      </c>
      <c r="R4">
        <v>-36.80419921875</v>
      </c>
      <c r="S4">
        <v>-36.80419921875</v>
      </c>
    </row>
    <row r="5" spans="1:23">
      <c r="A5" s="2">
        <v>45979</v>
      </c>
      <c r="B5" t="s">
        <v>44</v>
      </c>
      <c r="D5">
        <v>1522</v>
      </c>
      <c r="E5" t="s">
        <v>300</v>
      </c>
      <c r="F5" t="s">
        <v>46</v>
      </c>
      <c r="H5" t="s">
        <v>54</v>
      </c>
      <c r="I5" t="s">
        <v>55</v>
      </c>
      <c r="J5" t="s">
        <v>50</v>
      </c>
      <c r="L5">
        <v>-60.491744995117102</v>
      </c>
      <c r="M5">
        <v>-60.491744995117102</v>
      </c>
      <c r="Q5">
        <v>299.00000000003303</v>
      </c>
      <c r="R5">
        <v>-42.205810546875</v>
      </c>
      <c r="S5">
        <v>-42.205810546875</v>
      </c>
    </row>
    <row r="6" spans="1:23">
      <c r="A6" s="2">
        <v>45980</v>
      </c>
      <c r="B6" t="s">
        <v>44</v>
      </c>
      <c r="D6">
        <v>1523</v>
      </c>
      <c r="E6" t="s">
        <v>301</v>
      </c>
      <c r="F6" t="s">
        <v>46</v>
      </c>
      <c r="H6" t="s">
        <v>54</v>
      </c>
      <c r="I6" t="s">
        <v>58</v>
      </c>
      <c r="J6" t="s">
        <v>50</v>
      </c>
      <c r="L6">
        <v>-65.214653015136705</v>
      </c>
      <c r="M6">
        <v>-65.214653015136705</v>
      </c>
      <c r="Q6">
        <v>298.900000000033</v>
      </c>
      <c r="R6">
        <v>-41.717529296875</v>
      </c>
      <c r="S6">
        <v>-41.717529296875</v>
      </c>
    </row>
    <row r="7" spans="1:23">
      <c r="A7" s="2">
        <v>45980</v>
      </c>
      <c r="B7" t="s">
        <v>44</v>
      </c>
      <c r="D7">
        <v>1524</v>
      </c>
      <c r="E7" t="s">
        <v>302</v>
      </c>
      <c r="F7" t="s">
        <v>46</v>
      </c>
      <c r="H7" t="s">
        <v>54</v>
      </c>
      <c r="I7" t="s">
        <v>61</v>
      </c>
      <c r="J7" t="s">
        <v>50</v>
      </c>
      <c r="L7">
        <v>-60.138164520263601</v>
      </c>
      <c r="M7">
        <v>-60.138164520263601</v>
      </c>
      <c r="Q7">
        <v>298.95000000003301</v>
      </c>
      <c r="R7">
        <v>-43.9453125</v>
      </c>
      <c r="S7">
        <v>-43.9453125</v>
      </c>
    </row>
    <row r="8" spans="1:23">
      <c r="A8" s="2">
        <v>45980</v>
      </c>
      <c r="B8" t="s">
        <v>44</v>
      </c>
      <c r="D8">
        <v>1525</v>
      </c>
      <c r="E8" t="s">
        <v>303</v>
      </c>
      <c r="F8" t="s">
        <v>46</v>
      </c>
      <c r="H8" t="s">
        <v>54</v>
      </c>
      <c r="J8" t="s">
        <v>50</v>
      </c>
      <c r="L8">
        <v>-64.690956115722599</v>
      </c>
      <c r="M8">
        <v>-64.690956115722599</v>
      </c>
      <c r="Q8">
        <v>298.95000000003301</v>
      </c>
      <c r="R8">
        <v>-38.6962890625</v>
      </c>
      <c r="S8">
        <v>-38.6962890625</v>
      </c>
    </row>
    <row r="9" spans="1:23">
      <c r="A9" s="2">
        <v>45980</v>
      </c>
      <c r="B9" t="s">
        <v>44</v>
      </c>
      <c r="D9">
        <v>1526</v>
      </c>
      <c r="E9" t="s">
        <v>304</v>
      </c>
      <c r="F9" t="s">
        <v>46</v>
      </c>
      <c r="H9" t="s">
        <v>48</v>
      </c>
      <c r="J9" t="s">
        <v>50</v>
      </c>
      <c r="L9">
        <v>-56.795608520507798</v>
      </c>
      <c r="M9">
        <v>-56.795608520507798</v>
      </c>
      <c r="Q9">
        <v>299.00000000003303</v>
      </c>
      <c r="R9">
        <v>-47.2412109375</v>
      </c>
      <c r="S9">
        <v>-47.2412109375</v>
      </c>
    </row>
    <row r="10" spans="1:23">
      <c r="A10" s="2">
        <v>45981</v>
      </c>
      <c r="B10" t="s">
        <v>44</v>
      </c>
      <c r="D10">
        <v>1527</v>
      </c>
      <c r="E10" t="s">
        <v>305</v>
      </c>
      <c r="F10" t="s">
        <v>65</v>
      </c>
      <c r="H10" t="s">
        <v>48</v>
      </c>
      <c r="J10" t="s">
        <v>50</v>
      </c>
      <c r="L10">
        <v>-64.213279724120994</v>
      </c>
      <c r="M10">
        <v>-64.213279724120994</v>
      </c>
      <c r="Q10">
        <v>298.95000000003301</v>
      </c>
      <c r="R10">
        <v>-42.999267578125</v>
      </c>
      <c r="S10">
        <v>-42.999267578125</v>
      </c>
    </row>
    <row r="11" spans="1:23">
      <c r="A11" s="2">
        <v>45981</v>
      </c>
      <c r="B11" t="s">
        <v>44</v>
      </c>
      <c r="D11">
        <v>1528</v>
      </c>
      <c r="E11" t="s">
        <v>306</v>
      </c>
      <c r="F11" t="s">
        <v>65</v>
      </c>
      <c r="H11" t="s">
        <v>48</v>
      </c>
      <c r="I11" t="s">
        <v>66</v>
      </c>
      <c r="J11" t="s">
        <v>50</v>
      </c>
      <c r="L11">
        <v>-61.884849548339801</v>
      </c>
      <c r="M11">
        <v>-61.884849548339801</v>
      </c>
      <c r="Q11">
        <v>298.75000000003303</v>
      </c>
      <c r="R11">
        <v>-44.677734375</v>
      </c>
      <c r="S11">
        <v>-44.677734375</v>
      </c>
    </row>
    <row r="12" spans="1:23">
      <c r="A12" s="2">
        <v>45981</v>
      </c>
      <c r="B12" t="s">
        <v>44</v>
      </c>
      <c r="D12">
        <v>1529</v>
      </c>
      <c r="E12" t="s">
        <v>307</v>
      </c>
      <c r="F12" t="s">
        <v>65</v>
      </c>
      <c r="H12" t="s">
        <v>54</v>
      </c>
      <c r="I12" t="s">
        <v>67</v>
      </c>
      <c r="J12" t="s">
        <v>50</v>
      </c>
      <c r="L12">
        <v>-64.257217407226506</v>
      </c>
      <c r="M12">
        <v>-64.257217407226506</v>
      </c>
      <c r="Q12">
        <v>298.650000000033</v>
      </c>
      <c r="R12">
        <v>-36.31591796875</v>
      </c>
      <c r="S12">
        <v>-36.31591796875</v>
      </c>
    </row>
    <row r="13" spans="1:23">
      <c r="A13" s="2">
        <v>45985</v>
      </c>
      <c r="B13" t="s">
        <v>44</v>
      </c>
      <c r="D13">
        <v>1530</v>
      </c>
      <c r="E13" t="s">
        <v>308</v>
      </c>
      <c r="F13" t="s">
        <v>65</v>
      </c>
      <c r="H13" t="s">
        <v>54</v>
      </c>
      <c r="J13" t="s">
        <v>50</v>
      </c>
      <c r="L13">
        <v>-60.256893157958899</v>
      </c>
      <c r="M13">
        <v>-60.256893157958899</v>
      </c>
      <c r="Q13">
        <v>298.900000000033</v>
      </c>
      <c r="R13">
        <v>-37.4755859375</v>
      </c>
      <c r="S13">
        <v>-37.4755859375</v>
      </c>
      <c r="V13" t="str">
        <f t="shared" ref="V13:V34" si="0">IF(TRIM(M13)="","Yes","No")</f>
        <v>No</v>
      </c>
    </row>
    <row r="14" spans="1:23">
      <c r="A14" s="2">
        <v>45985</v>
      </c>
      <c r="B14" t="s">
        <v>69</v>
      </c>
      <c r="D14">
        <v>1531</v>
      </c>
      <c r="E14" t="s">
        <v>309</v>
      </c>
      <c r="F14" t="s">
        <v>65</v>
      </c>
      <c r="H14" t="s">
        <v>54</v>
      </c>
      <c r="J14" t="s">
        <v>50</v>
      </c>
      <c r="L14">
        <v>-70.358444213867102</v>
      </c>
      <c r="M14">
        <v>-70.358444213867102</v>
      </c>
      <c r="Q14">
        <v>299.20000000003301</v>
      </c>
      <c r="R14">
        <v>-37.65869140625</v>
      </c>
      <c r="S14">
        <v>-37.65869140625</v>
      </c>
      <c r="V14" t="str">
        <f t="shared" si="0"/>
        <v>No</v>
      </c>
    </row>
    <row r="15" spans="1:23">
      <c r="A15" s="2">
        <v>45985</v>
      </c>
      <c r="B15" t="s">
        <v>44</v>
      </c>
      <c r="D15">
        <v>1532</v>
      </c>
      <c r="E15" t="s">
        <v>311</v>
      </c>
      <c r="F15" t="s">
        <v>65</v>
      </c>
      <c r="H15" t="s">
        <v>54</v>
      </c>
      <c r="I15" t="s">
        <v>73</v>
      </c>
      <c r="J15" t="s">
        <v>50</v>
      </c>
      <c r="L15">
        <v>-59.135204315185497</v>
      </c>
      <c r="M15">
        <v>-59.135204315185497</v>
      </c>
      <c r="Q15">
        <v>298.80000000003298</v>
      </c>
      <c r="R15">
        <v>-40.1611328125</v>
      </c>
      <c r="S15">
        <v>-40.1611328125</v>
      </c>
      <c r="V15" t="str">
        <f t="shared" si="0"/>
        <v>No</v>
      </c>
    </row>
    <row r="16" spans="1:23">
      <c r="A16" s="2">
        <v>45985</v>
      </c>
      <c r="B16" t="s">
        <v>69</v>
      </c>
      <c r="D16">
        <v>1533</v>
      </c>
      <c r="E16" t="s">
        <v>312</v>
      </c>
      <c r="F16" t="s">
        <v>65</v>
      </c>
      <c r="H16" t="s">
        <v>54</v>
      </c>
      <c r="J16" t="s">
        <v>50</v>
      </c>
      <c r="L16">
        <v>-42.382492065429602</v>
      </c>
      <c r="M16" t="s">
        <v>461</v>
      </c>
      <c r="Q16">
        <v>298.85000000003299</v>
      </c>
      <c r="R16">
        <v>-42.510986328125</v>
      </c>
      <c r="S16" t="s">
        <v>461</v>
      </c>
      <c r="V16" t="str">
        <f t="shared" si="0"/>
        <v>Yes</v>
      </c>
      <c r="W16" t="s">
        <v>75</v>
      </c>
    </row>
    <row r="17" spans="1:23">
      <c r="A17" s="2">
        <v>45985</v>
      </c>
      <c r="B17" t="s">
        <v>44</v>
      </c>
      <c r="D17">
        <v>1534</v>
      </c>
      <c r="E17" t="s">
        <v>313</v>
      </c>
      <c r="F17" t="s">
        <v>65</v>
      </c>
      <c r="H17" t="s">
        <v>48</v>
      </c>
      <c r="I17" t="s">
        <v>77</v>
      </c>
      <c r="J17" t="s">
        <v>50</v>
      </c>
      <c r="L17">
        <v>-56.8115425109863</v>
      </c>
      <c r="M17">
        <v>-56.8115425109863</v>
      </c>
      <c r="Q17">
        <v>298.95000000003301</v>
      </c>
      <c r="R17">
        <v>-40.191650390625</v>
      </c>
      <c r="S17">
        <v>-40.191650390625</v>
      </c>
      <c r="V17" t="str">
        <f t="shared" si="0"/>
        <v>No</v>
      </c>
    </row>
    <row r="18" spans="1:23">
      <c r="A18" s="2">
        <v>46000</v>
      </c>
      <c r="B18" t="s">
        <v>69</v>
      </c>
      <c r="D18">
        <v>1536</v>
      </c>
      <c r="E18" t="s">
        <v>314</v>
      </c>
      <c r="F18" t="s">
        <v>65</v>
      </c>
      <c r="H18" t="s">
        <v>48</v>
      </c>
      <c r="I18" t="s">
        <v>79</v>
      </c>
      <c r="J18" t="s">
        <v>80</v>
      </c>
      <c r="L18">
        <v>-66.048759460449205</v>
      </c>
      <c r="Q18">
        <v>299.05000000003298</v>
      </c>
      <c r="R18">
        <v>-50.4150390625</v>
      </c>
      <c r="V18" t="str">
        <f t="shared" si="0"/>
        <v>Yes</v>
      </c>
      <c r="W18" t="s">
        <v>80</v>
      </c>
    </row>
    <row r="19" spans="1:23">
      <c r="A19" s="2">
        <v>46000</v>
      </c>
      <c r="B19" t="s">
        <v>44</v>
      </c>
      <c r="D19">
        <v>1537</v>
      </c>
      <c r="E19" t="s">
        <v>316</v>
      </c>
      <c r="F19" t="s">
        <v>65</v>
      </c>
      <c r="H19" t="s">
        <v>54</v>
      </c>
      <c r="I19" t="s">
        <v>81</v>
      </c>
      <c r="J19" t="s">
        <v>50</v>
      </c>
      <c r="L19">
        <v>-59.208274841308501</v>
      </c>
      <c r="M19">
        <v>-59.208274841308501</v>
      </c>
      <c r="Q19">
        <v>298.95000000003301</v>
      </c>
      <c r="R19">
        <v>-27.099609375</v>
      </c>
      <c r="S19">
        <v>-27.099609375</v>
      </c>
      <c r="V19" t="str">
        <f t="shared" si="0"/>
        <v>No</v>
      </c>
    </row>
    <row r="20" spans="1:23" s="17" customFormat="1">
      <c r="A20" s="18">
        <v>46000</v>
      </c>
      <c r="B20" s="17" t="s">
        <v>69</v>
      </c>
      <c r="D20" s="17">
        <v>1538</v>
      </c>
      <c r="E20" s="17" t="s">
        <v>317</v>
      </c>
      <c r="F20" s="17" t="s">
        <v>65</v>
      </c>
      <c r="H20" s="17" t="s">
        <v>54</v>
      </c>
      <c r="I20" s="17" t="s">
        <v>83</v>
      </c>
      <c r="J20" s="17" t="s">
        <v>50</v>
      </c>
      <c r="L20" s="17">
        <v>-69.174057006835895</v>
      </c>
      <c r="Q20" s="17">
        <v>299.150000000033</v>
      </c>
      <c r="R20" s="17">
        <v>-47.088623046875</v>
      </c>
      <c r="V20" s="17" t="str">
        <f t="shared" si="0"/>
        <v>Yes</v>
      </c>
      <c r="W20" s="17" t="s">
        <v>80</v>
      </c>
    </row>
    <row r="21" spans="1:23">
      <c r="A21" s="2">
        <v>46000</v>
      </c>
      <c r="B21" t="s">
        <v>44</v>
      </c>
      <c r="D21">
        <v>1539</v>
      </c>
      <c r="E21" t="s">
        <v>318</v>
      </c>
      <c r="F21" t="s">
        <v>65</v>
      </c>
      <c r="H21" t="s">
        <v>54</v>
      </c>
      <c r="I21" t="s">
        <v>85</v>
      </c>
      <c r="J21" t="s">
        <v>50</v>
      </c>
      <c r="L21">
        <v>-63.7976264953613</v>
      </c>
      <c r="M21">
        <v>-63.7976264953613</v>
      </c>
      <c r="Q21">
        <v>298.80000000003298</v>
      </c>
      <c r="R21">
        <v>-43.548583984375</v>
      </c>
      <c r="S21">
        <v>-43.548583984375</v>
      </c>
      <c r="V21" t="str">
        <f t="shared" si="0"/>
        <v>No</v>
      </c>
    </row>
    <row r="22" spans="1:23">
      <c r="A22" s="2">
        <v>46001</v>
      </c>
      <c r="B22" t="s">
        <v>69</v>
      </c>
      <c r="D22">
        <v>1540</v>
      </c>
      <c r="E22" t="s">
        <v>319</v>
      </c>
      <c r="F22" t="s">
        <v>46</v>
      </c>
      <c r="H22" t="s">
        <v>54</v>
      </c>
      <c r="J22" t="s">
        <v>50</v>
      </c>
      <c r="L22">
        <v>-57.144802093505803</v>
      </c>
      <c r="M22">
        <v>-57.144802093505803</v>
      </c>
      <c r="Q22">
        <v>298.95000000003301</v>
      </c>
      <c r="R22">
        <v>-36.285400390625</v>
      </c>
      <c r="S22">
        <v>-36.285400390625</v>
      </c>
      <c r="V22" t="str">
        <f t="shared" si="0"/>
        <v>No</v>
      </c>
    </row>
    <row r="23" spans="1:23">
      <c r="A23" s="2">
        <v>46001</v>
      </c>
      <c r="B23" t="s">
        <v>69</v>
      </c>
      <c r="D23">
        <v>1541</v>
      </c>
      <c r="E23" t="s">
        <v>320</v>
      </c>
      <c r="F23" t="s">
        <v>46</v>
      </c>
      <c r="H23" t="s">
        <v>48</v>
      </c>
      <c r="I23" t="s">
        <v>88</v>
      </c>
      <c r="J23" t="s">
        <v>50</v>
      </c>
      <c r="L23">
        <v>-54.118686676025298</v>
      </c>
      <c r="M23">
        <v>-54.118686676025298</v>
      </c>
      <c r="Q23">
        <v>299.10000000003299</v>
      </c>
      <c r="R23">
        <v>-45.379638671875</v>
      </c>
      <c r="S23">
        <v>-45.379638671875</v>
      </c>
      <c r="V23" t="str">
        <f t="shared" si="0"/>
        <v>No</v>
      </c>
    </row>
    <row r="24" spans="1:23">
      <c r="A24" s="2">
        <v>46001</v>
      </c>
      <c r="B24" t="s">
        <v>90</v>
      </c>
      <c r="D24">
        <v>1542</v>
      </c>
      <c r="E24" t="s">
        <v>321</v>
      </c>
      <c r="F24" t="s">
        <v>46</v>
      </c>
      <c r="H24" t="s">
        <v>48</v>
      </c>
      <c r="J24" t="s">
        <v>50</v>
      </c>
      <c r="L24">
        <v>-32.476371765136697</v>
      </c>
      <c r="Q24">
        <v>297.55000000003298</v>
      </c>
      <c r="R24">
        <v>-30.09033203125</v>
      </c>
      <c r="V24" t="str">
        <f t="shared" si="0"/>
        <v>Yes</v>
      </c>
      <c r="W24" t="s">
        <v>89</v>
      </c>
    </row>
    <row r="25" spans="1:23">
      <c r="A25" s="2">
        <v>46002</v>
      </c>
      <c r="B25" t="s">
        <v>69</v>
      </c>
      <c r="D25">
        <v>1543</v>
      </c>
      <c r="E25" t="s">
        <v>323</v>
      </c>
      <c r="F25" t="s">
        <v>46</v>
      </c>
      <c r="H25" t="s">
        <v>54</v>
      </c>
      <c r="I25" t="s">
        <v>94</v>
      </c>
      <c r="J25" t="s">
        <v>50</v>
      </c>
      <c r="L25">
        <v>-47.746295928955</v>
      </c>
      <c r="M25">
        <v>-47.746295928955</v>
      </c>
      <c r="Q25">
        <v>299.00000000003303</v>
      </c>
      <c r="R25">
        <v>-43.9453125</v>
      </c>
      <c r="S25">
        <v>-43.9453125</v>
      </c>
      <c r="V25" t="str">
        <f t="shared" si="0"/>
        <v>No</v>
      </c>
    </row>
    <row r="26" spans="1:23">
      <c r="A26" s="2">
        <v>46002</v>
      </c>
      <c r="B26" t="s">
        <v>69</v>
      </c>
      <c r="D26">
        <v>1544</v>
      </c>
      <c r="E26" t="s">
        <v>324</v>
      </c>
      <c r="F26" t="s">
        <v>46</v>
      </c>
      <c r="H26" t="s">
        <v>48</v>
      </c>
      <c r="I26" t="s">
        <v>96</v>
      </c>
      <c r="J26" t="s">
        <v>50</v>
      </c>
      <c r="L26">
        <v>-44.802642822265597</v>
      </c>
      <c r="M26">
        <v>-44.802642822265597</v>
      </c>
      <c r="Q26">
        <v>298.80000000003298</v>
      </c>
      <c r="R26">
        <v>-43.64013671875</v>
      </c>
      <c r="S26">
        <v>-43.64013671875</v>
      </c>
      <c r="V26" t="str">
        <f t="shared" si="0"/>
        <v>No</v>
      </c>
    </row>
    <row r="27" spans="1:23">
      <c r="A27" s="2">
        <v>46002</v>
      </c>
      <c r="B27" t="s">
        <v>44</v>
      </c>
      <c r="D27">
        <v>1545</v>
      </c>
      <c r="E27" t="s">
        <v>325</v>
      </c>
      <c r="F27" t="s">
        <v>46</v>
      </c>
      <c r="H27" t="s">
        <v>48</v>
      </c>
      <c r="J27" t="s">
        <v>50</v>
      </c>
      <c r="L27">
        <v>-74.885505676269503</v>
      </c>
      <c r="M27">
        <v>-74.885505676269503</v>
      </c>
      <c r="Q27">
        <v>298.50000000003303</v>
      </c>
      <c r="R27">
        <v>-57.830810546875</v>
      </c>
      <c r="S27">
        <v>-57.830810546875</v>
      </c>
      <c r="V27" t="str">
        <f t="shared" si="0"/>
        <v>No</v>
      </c>
    </row>
    <row r="28" spans="1:23">
      <c r="A28" s="2">
        <v>46002</v>
      </c>
      <c r="B28" t="s">
        <v>90</v>
      </c>
      <c r="D28">
        <v>1546</v>
      </c>
      <c r="E28" t="s">
        <v>326</v>
      </c>
      <c r="F28" t="s">
        <v>46</v>
      </c>
      <c r="H28" t="s">
        <v>48</v>
      </c>
      <c r="L28">
        <v>-31.250228881835898</v>
      </c>
      <c r="M28" t="s">
        <v>461</v>
      </c>
      <c r="Q28">
        <v>298.55000000003298</v>
      </c>
      <c r="R28">
        <v>-44.952392578125</v>
      </c>
      <c r="S28" t="s">
        <v>461</v>
      </c>
      <c r="V28" t="str">
        <f t="shared" si="0"/>
        <v>Yes</v>
      </c>
      <c r="W28" t="s">
        <v>75</v>
      </c>
    </row>
    <row r="29" spans="1:23">
      <c r="A29" s="2">
        <v>46003</v>
      </c>
      <c r="B29" t="s">
        <v>44</v>
      </c>
      <c r="D29">
        <v>1547</v>
      </c>
      <c r="E29" t="s">
        <v>328</v>
      </c>
      <c r="F29" t="s">
        <v>65</v>
      </c>
      <c r="H29" t="s">
        <v>54</v>
      </c>
      <c r="I29" t="s">
        <v>100</v>
      </c>
      <c r="J29" t="s">
        <v>50</v>
      </c>
      <c r="L29">
        <v>-54.801189422607401</v>
      </c>
      <c r="M29">
        <v>-54.801189422607401</v>
      </c>
      <c r="Q29">
        <v>298.85000000003299</v>
      </c>
      <c r="R29">
        <v>-37.59765625</v>
      </c>
      <c r="S29">
        <v>-37.59765625</v>
      </c>
      <c r="V29" t="str">
        <f t="shared" si="0"/>
        <v>No</v>
      </c>
    </row>
    <row r="30" spans="1:23">
      <c r="A30" s="2">
        <v>46003</v>
      </c>
      <c r="B30" t="s">
        <v>101</v>
      </c>
      <c r="D30">
        <v>1548</v>
      </c>
      <c r="E30" t="s">
        <v>329</v>
      </c>
      <c r="F30" t="s">
        <v>65</v>
      </c>
      <c r="H30" t="s">
        <v>54</v>
      </c>
      <c r="I30" t="s">
        <v>103</v>
      </c>
      <c r="J30" t="s">
        <v>50</v>
      </c>
      <c r="L30">
        <v>-18.1497592926025</v>
      </c>
      <c r="M30" t="s">
        <v>461</v>
      </c>
      <c r="Q30">
        <v>299.10000000003299</v>
      </c>
      <c r="R30">
        <v>-38.177490234375</v>
      </c>
      <c r="S30" t="s">
        <v>461</v>
      </c>
      <c r="V30" t="str">
        <f t="shared" si="0"/>
        <v>Yes</v>
      </c>
      <c r="W30" t="s">
        <v>75</v>
      </c>
    </row>
    <row r="31" spans="1:23" s="17" customFormat="1">
      <c r="A31" s="18">
        <v>46003</v>
      </c>
      <c r="B31" s="17" t="s">
        <v>90</v>
      </c>
      <c r="D31" s="17">
        <v>1549</v>
      </c>
      <c r="E31" s="17" t="s">
        <v>330</v>
      </c>
      <c r="F31" s="17" t="s">
        <v>65</v>
      </c>
      <c r="H31" s="17" t="s">
        <v>54</v>
      </c>
      <c r="J31" s="17" t="s">
        <v>80</v>
      </c>
      <c r="L31" s="17">
        <v>-61.051807403564403</v>
      </c>
      <c r="M31" s="17">
        <v>-61.051807403564403</v>
      </c>
      <c r="Q31" s="17">
        <v>298.900000000033</v>
      </c>
      <c r="R31" s="17">
        <v>-36.865234375</v>
      </c>
      <c r="S31" s="17">
        <v>-36.865234375</v>
      </c>
      <c r="V31" s="17" t="str">
        <f t="shared" si="0"/>
        <v>No</v>
      </c>
    </row>
    <row r="32" spans="1:23">
      <c r="A32" s="2">
        <v>46003</v>
      </c>
      <c r="B32" t="s">
        <v>69</v>
      </c>
      <c r="D32">
        <v>1550</v>
      </c>
      <c r="E32" t="s">
        <v>331</v>
      </c>
      <c r="F32" t="s">
        <v>65</v>
      </c>
      <c r="H32" t="s">
        <v>48</v>
      </c>
      <c r="I32" t="s">
        <v>106</v>
      </c>
      <c r="J32" t="s">
        <v>50</v>
      </c>
      <c r="L32">
        <v>-46.307552337646399</v>
      </c>
      <c r="M32">
        <v>-46.307552337646399</v>
      </c>
      <c r="Q32">
        <v>299.10000000003299</v>
      </c>
      <c r="R32">
        <v>-42.6025390625</v>
      </c>
      <c r="S32">
        <v>-42.6025390625</v>
      </c>
      <c r="V32" t="str">
        <f t="shared" si="0"/>
        <v>No</v>
      </c>
    </row>
    <row r="33" spans="1:23">
      <c r="A33" s="2">
        <v>46003</v>
      </c>
      <c r="B33" t="s">
        <v>44</v>
      </c>
      <c r="D33">
        <v>1551</v>
      </c>
      <c r="E33" t="s">
        <v>332</v>
      </c>
      <c r="F33" t="s">
        <v>65</v>
      </c>
      <c r="H33" t="s">
        <v>108</v>
      </c>
      <c r="I33" t="s">
        <v>109</v>
      </c>
      <c r="J33" t="s">
        <v>50</v>
      </c>
      <c r="L33">
        <v>-59.285091400146399</v>
      </c>
      <c r="M33">
        <v>-59.285091400146399</v>
      </c>
      <c r="Q33">
        <v>298.900000000033</v>
      </c>
      <c r="R33">
        <v>-48.52294921875</v>
      </c>
      <c r="S33">
        <v>-48.52294921875</v>
      </c>
      <c r="V33" t="str">
        <f t="shared" si="0"/>
        <v>No</v>
      </c>
    </row>
    <row r="34" spans="1:23">
      <c r="A34" s="2">
        <v>46003</v>
      </c>
      <c r="B34" t="s">
        <v>90</v>
      </c>
      <c r="D34">
        <v>1552</v>
      </c>
      <c r="E34" t="s">
        <v>333</v>
      </c>
      <c r="F34" t="s">
        <v>65</v>
      </c>
      <c r="H34" t="s">
        <v>48</v>
      </c>
      <c r="J34" t="s">
        <v>50</v>
      </c>
      <c r="Q34">
        <v>298.55000000003298</v>
      </c>
      <c r="R34">
        <v>-34.1796875</v>
      </c>
      <c r="S34" t="s">
        <v>461</v>
      </c>
      <c r="V34" t="str">
        <f t="shared" si="0"/>
        <v>Yes</v>
      </c>
      <c r="W3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Devan Gomez</cp:lastModifiedBy>
  <cp:revision/>
  <dcterms:created xsi:type="dcterms:W3CDTF">2025-12-22T16:57:57Z</dcterms:created>
  <dcterms:modified xsi:type="dcterms:W3CDTF">2026-02-23T14:11:20Z</dcterms:modified>
  <cp:category/>
  <cp:contentStatus/>
</cp:coreProperties>
</file>